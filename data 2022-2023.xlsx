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tpmy-my.sharepoint.com/personal/aida_22007471_utp_edu_my/Documents/FYP1/FYP Dashboard/"/>
    </mc:Choice>
  </mc:AlternateContent>
  <xr:revisionPtr revIDLastSave="8" documentId="11_1058C1B7343B14346E958CD21D2819166501932E" xr6:coauthVersionLast="47" xr6:coauthVersionMax="47" xr10:uidLastSave="{699CB040-31C0-45CE-B9FA-E8ABDAE3F1CA}"/>
  <bookViews>
    <workbookView xWindow="-120" yWindow="-120" windowWidth="20730" windowHeight="11040" activeTab="2" xr2:uid="{00000000-000D-0000-FFFF-FFFF00000000}"/>
  </bookViews>
  <sheets>
    <sheet name="2022" sheetId="1" r:id="rId1"/>
    <sheet name="2023" sheetId="2" r:id="rId2"/>
    <sheet name="main" sheetId="3" r:id="rId3"/>
  </sheets>
  <externalReferences>
    <externalReference r:id="rId4"/>
    <externalReference r:id="rId5"/>
    <externalReference r:id="rId6"/>
  </externalReferences>
  <definedNames>
    <definedName name="Branches">[1]DropDown!#REF!</definedName>
    <definedName name="Bread">[1]DropDown!#REF!</definedName>
    <definedName name="C_AtomicMass">'[2]Emission Factors'!#REF!</definedName>
    <definedName name="CapacityUnit" hidden="1">#REF!</definedName>
    <definedName name="Carpet">[1]DropDown!#REF!</definedName>
    <definedName name="CH4_GWP">'[2]Emission Factors'!$C$372</definedName>
    <definedName name="Clay_Bricks">[1]DropDown!#REF!</definedName>
    <definedName name="Compo_list">INDIRECT([3]Compo!$F$73)</definedName>
    <definedName name="Concrete">[1]DropDown!#REF!</definedName>
    <definedName name="Copper_Wire">[1]DropDown!#REF!</definedName>
    <definedName name="Corrugated_Containers">[1]DropDown!#REF!</definedName>
    <definedName name="CRT_Displays">[1]DropDown!#REF!</definedName>
    <definedName name="Dairy_Products">[1]DropDown!#REF!</definedName>
    <definedName name="Desktop_CPUs">[1]DropDown!#REF!</definedName>
    <definedName name="Diesel_Heavy_Trucks_CH4_N2O">'[2]Emission Factors'!$C$168:$E$169</definedName>
    <definedName name="Diesel_Lt_Trucks_CH4_N2O">'[2]Emission Factors'!$C$165:$E$167</definedName>
    <definedName name="Diesel_pass_CH4_N2O">'[2]Emission Factors'!$C$162:$E$164</definedName>
    <definedName name="Dimensional_Lumber">[1]DropDown!#REF!</definedName>
    <definedName name="Drywall">[1]DropDown!#REF!</definedName>
    <definedName name="EFUnit" hidden="1">#REF!</definedName>
    <definedName name="Electronic_Peripherals">[1]DropDown!#REF!</definedName>
    <definedName name="Em_by_ProdTransType">#REF!</definedName>
    <definedName name="Emission_Factor">'[1]Emission Factor'!$A$114:$C$155</definedName>
    <definedName name="Emission_Factor_Unit">'[1]Emission Factor'!$A$114:$D$155</definedName>
    <definedName name="EmissionFactorUnit" hidden="1">#REF!</definedName>
    <definedName name="EnergyUnit" hidden="1">#REF!</definedName>
    <definedName name="Fiberglass_Insulation">[1]DropDown!#REF!</definedName>
    <definedName name="Fixed_FireLeakRate">#REF!</definedName>
    <definedName name="FlareGasVolume" hidden="1">#REF!</definedName>
    <definedName name="FlareType" hidden="1">#REF!</definedName>
    <definedName name="Flat_panel_Displays">[1]DropDown!#REF!</definedName>
    <definedName name="Fly_Ash">[1]DropDown!#REF!</definedName>
    <definedName name="Food_Waste">[1]DropDown!#REF!</definedName>
    <definedName name="Food_Waste_meat_only">[1]DropDown!#REF!</definedName>
    <definedName name="Food_Waste_non_meat">[1]DropDown!#REF!</definedName>
    <definedName name="Fruits_and_Vegetables">[1]DropDown!#REF!</definedName>
    <definedName name="fuel_component">[3]Compo!$A$136:$A$157</definedName>
    <definedName name="fuel_mass_compo">[3]Import_Fuel!$P$6:$P$100000</definedName>
    <definedName name="Fuel_Name">OFFSET([3]Load!$B$174,0,0,,COUNTA([3]Load!$B$174:$WZZ$174))</definedName>
    <definedName name="fuel_name_final">[3]Import_Fuel!$AF$5:$WZZ$5</definedName>
    <definedName name="Fuel_Type">[1]DropDown!#REF!</definedName>
    <definedName name="FuelUsageUnit" hidden="1">#REF!</definedName>
    <definedName name="fugitive_facility_list">#REF!</definedName>
    <definedName name="Gas_Heavy_Duty_CH4_N2O">'[2]Emission Factors'!$B$122:$D$154</definedName>
    <definedName name="Gas_Lt_Duty_Trucks_CH4_N2O">'[2]Emission Factors'!$B$90:$D$121</definedName>
    <definedName name="Gas_Motorcycle_CH4_N2O">'[2]Emission Factors'!$B$155:$D$157</definedName>
    <definedName name="Gas_Pass_Car_CH4_N2O">'[2]Emission Factors'!$B$58:$D$89</definedName>
    <definedName name="GHG_Source">'[3]Monthly Emission'!$Y$25:$Y$37</definedName>
    <definedName name="Glass">[1]DropDown!#REF!</definedName>
    <definedName name="Grains">[1]DropDown!#REF!</definedName>
    <definedName name="Grass">[1]DropDown!#REF!</definedName>
    <definedName name="Hard_copy_Devices">[1]DropDown!#REF!</definedName>
    <definedName name="HDPE">[1]DropDown!#REF!</definedName>
    <definedName name="Help_Navigation">[1]DropDown!#REF!</definedName>
    <definedName name="kg_per_lb">#REF!</definedName>
    <definedName name="Landfill_Gas_scf_per_mmBtu">#REF!</definedName>
    <definedName name="Landfill_Gas_scf_per_therm">#REF!</definedName>
    <definedName name="LDPE">[1]DropDown!#REF!</definedName>
    <definedName name="Leaves">[1]DropDown!#REF!</definedName>
    <definedName name="LLDPE">[1]DropDown!#REF!</definedName>
    <definedName name="Location">'[3]Summary Emission'!$G$3</definedName>
    <definedName name="Magazines_and_Third_class_mail">[1]DropDown!#REF!</definedName>
    <definedName name="Medium_density_Fiberboard">[1]DropDown!#REF!</definedName>
    <definedName name="Mixed_Electronics">[1]DropDown!#REF!</definedName>
    <definedName name="Mixed_Metals">[1]DropDown!#REF!</definedName>
    <definedName name="Mixed_MSW_municipal_solid_waste">[1]DropDown!#REF!</definedName>
    <definedName name="Mixed_Organics">[1]DropDown!#REF!</definedName>
    <definedName name="Mixed_Paper_general">[1]DropDown!#REF!</definedName>
    <definedName name="Mixed_Paper_primarily_from_offices">[1]DropDown!#REF!</definedName>
    <definedName name="Mixed_Paper_primarily_residential">[1]DropDown!#REF!</definedName>
    <definedName name="Mixed_Plastics">[1]DropDown!#REF!</definedName>
    <definedName name="Mixed_Recyclables">[1]DropDown!#REF!</definedName>
    <definedName name="Mixture">INDIRECT([3]Compo!$D$73)</definedName>
    <definedName name="Mobile_Biodiesel_CO2fctr">'[2]Emission Factors'!$B$46</definedName>
    <definedName name="Mobile_Ethanol_CO2fctr">'[2]Emission Factors'!$B$49</definedName>
    <definedName name="N2O_GWP">'[2]Emission Factors'!$C$373</definedName>
    <definedName name="Natural_Gas_scf_per_mmBtu">#REF!</definedName>
    <definedName name="Natural_Gas_scf_per_therm">#REF!</definedName>
    <definedName name="Newspaper">[1]DropDown!#REF!</definedName>
    <definedName name="Office_Paper">[1]DropDown!#REF!</definedName>
    <definedName name="PET">[1]DropDown!#REF!</definedName>
    <definedName name="Phonebooks">[1]DropDown!#REF!</definedName>
    <definedName name="PLA">[1]DropDown!#REF!</definedName>
    <definedName name="Plant">[1]DropDown!$A$2:$A$6</definedName>
    <definedName name="Portable_Electronic_Devices">[1]DropDown!#REF!</definedName>
    <definedName name="Portable_FireLeakRate">#REF!</definedName>
    <definedName name="PP">[1]DropDown!#REF!</definedName>
    <definedName name="Propane_Gas_scf_per_mmBtu">#REF!</definedName>
    <definedName name="Propane_Gas_scf_per_therm">#REF!</definedName>
    <definedName name="property_item">[3]Import_Fuel!$AE$6:$AE$14</definedName>
    <definedName name="PS">[1]DropDown!#REF!</definedName>
    <definedName name="Scope">[1]DropDown!$L$2:$L$4</definedName>
    <definedName name="Scope3_Vehicle">[1]DropDown!#REF!</definedName>
    <definedName name="SCUnit" hidden="1">#REF!</definedName>
    <definedName name="Stationary_Fuel_Fctrs_unit">'[2]Emission Factors'!$A$12:$G$39</definedName>
    <definedName name="stream_properties">[3]Import_Fuel!$AF$6:$WZZ$14</definedName>
    <definedName name="Structural_Steel">[1]DropDown!#REF!</definedName>
    <definedName name="T_S">'[3]Gas Combustion'!$H$76</definedName>
    <definedName name="Tab_navigation">[1]DropDown!#REF!</definedName>
    <definedName name="ThroughputEFUnit" hidden="1">#REF!</definedName>
    <definedName name="ThroughputUnit" hidden="1">#REF!</definedName>
    <definedName name="TrueorFalse" hidden="1">#REF!</definedName>
    <definedName name="V_N">'[3]Gas Combustion'!$H$77</definedName>
    <definedName name="V_S">'[3]Gas Combustion'!$H$78</definedName>
    <definedName name="Year">[1]DropDown!$A$13:$A$17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2" i="2" l="1"/>
  <c r="G72" i="2" a="1"/>
  <c r="G72" i="2"/>
  <c r="B72" i="2"/>
  <c r="T71" i="2"/>
  <c r="G71" i="2" a="1"/>
  <c r="G71" i="2"/>
  <c r="B71" i="2"/>
  <c r="T70" i="2"/>
  <c r="G70" i="2" a="1"/>
  <c r="G70" i="2"/>
  <c r="B70" i="2"/>
  <c r="T69" i="2"/>
  <c r="G69" i="2" a="1"/>
  <c r="G69" i="2"/>
  <c r="B69" i="2"/>
  <c r="T68" i="2"/>
  <c r="G68" i="2" a="1"/>
  <c r="G68" i="2"/>
  <c r="B68" i="2"/>
  <c r="T67" i="2"/>
  <c r="G67" i="2" a="1"/>
  <c r="G67" i="2"/>
  <c r="B67" i="2"/>
  <c r="T66" i="2"/>
  <c r="G66" i="2" a="1"/>
  <c r="G66" i="2"/>
  <c r="B66" i="2"/>
  <c r="T65" i="2"/>
  <c r="G65" i="2" a="1"/>
  <c r="G65" i="2"/>
  <c r="B65" i="2"/>
  <c r="T64" i="2"/>
  <c r="G64" i="2" a="1"/>
  <c r="G64" i="2"/>
  <c r="B64" i="2"/>
  <c r="T63" i="2"/>
  <c r="G63" i="2" a="1"/>
  <c r="G63" i="2"/>
  <c r="B63" i="2"/>
  <c r="T62" i="2"/>
  <c r="G62" i="2" a="1"/>
  <c r="G62" i="2"/>
  <c r="B62" i="2"/>
  <c r="T61" i="2"/>
  <c r="G61" i="2" a="1"/>
  <c r="G61" i="2"/>
  <c r="B61" i="2"/>
  <c r="T60" i="2"/>
  <c r="G60" i="2" a="1"/>
  <c r="G60" i="2"/>
  <c r="B60" i="2"/>
  <c r="T59" i="2"/>
  <c r="G59" i="2" a="1"/>
  <c r="G59" i="2"/>
  <c r="B59" i="2"/>
  <c r="T58" i="2"/>
  <c r="G58" i="2" a="1"/>
  <c r="G58" i="2"/>
  <c r="B58" i="2"/>
  <c r="T57" i="2"/>
  <c r="G57" i="2" a="1"/>
  <c r="G57" i="2"/>
  <c r="B57" i="2"/>
  <c r="T56" i="2"/>
  <c r="G56" i="2" a="1"/>
  <c r="G56" i="2"/>
  <c r="B56" i="2"/>
  <c r="T55" i="2"/>
  <c r="G55" i="2" a="1"/>
  <c r="G55" i="2"/>
  <c r="B55" i="2"/>
  <c r="T54" i="2"/>
  <c r="G54" i="2" a="1"/>
  <c r="G54" i="2"/>
  <c r="B54" i="2"/>
  <c r="T53" i="2"/>
  <c r="G53" i="2" a="1"/>
  <c r="G53" i="2"/>
  <c r="B53" i="2"/>
  <c r="T52" i="2"/>
  <c r="G52" i="2" a="1"/>
  <c r="G52" i="2"/>
  <c r="B52" i="2"/>
  <c r="T51" i="2"/>
  <c r="G51" i="2" a="1"/>
  <c r="G51" i="2"/>
  <c r="B51" i="2"/>
  <c r="T50" i="2"/>
  <c r="G50" i="2" a="1"/>
  <c r="G50" i="2"/>
  <c r="B50" i="2"/>
  <c r="T49" i="2"/>
  <c r="G49" i="2" a="1"/>
  <c r="G49" i="2"/>
  <c r="B49" i="2"/>
  <c r="T48" i="2"/>
  <c r="G48" i="2" a="1"/>
  <c r="G48" i="2"/>
  <c r="B48" i="2"/>
  <c r="T47" i="2"/>
  <c r="G47" i="2" a="1"/>
  <c r="G47" i="2"/>
  <c r="B47" i="2"/>
  <c r="T46" i="2"/>
  <c r="G46" i="2" a="1"/>
  <c r="G46" i="2"/>
  <c r="B46" i="2"/>
  <c r="T45" i="2"/>
  <c r="G45" i="2" a="1"/>
  <c r="G45" i="2"/>
  <c r="B45" i="2"/>
  <c r="T44" i="2"/>
  <c r="G44" i="2" a="1"/>
  <c r="G44" i="2"/>
  <c r="B44" i="2"/>
  <c r="T43" i="2"/>
  <c r="G43" i="2" a="1"/>
  <c r="G43" i="2"/>
  <c r="B43" i="2"/>
  <c r="T42" i="2"/>
  <c r="G42" i="2" a="1"/>
  <c r="G42" i="2"/>
  <c r="B42" i="2"/>
  <c r="T41" i="2"/>
  <c r="G41" i="2" a="1"/>
  <c r="G41" i="2"/>
  <c r="B41" i="2"/>
  <c r="T40" i="2"/>
  <c r="G40" i="2" a="1"/>
  <c r="G40" i="2"/>
  <c r="B40" i="2"/>
  <c r="T39" i="2"/>
  <c r="G39" i="2" a="1"/>
  <c r="G39" i="2"/>
  <c r="B39" i="2"/>
  <c r="T38" i="2"/>
  <c r="G38" i="2" a="1"/>
  <c r="G38" i="2"/>
  <c r="B38" i="2"/>
  <c r="T37" i="2"/>
  <c r="G37" i="2" a="1"/>
  <c r="G37" i="2"/>
  <c r="B37" i="2"/>
  <c r="T36" i="2"/>
  <c r="G36" i="2" a="1"/>
  <c r="G36" i="2"/>
  <c r="B36" i="2"/>
  <c r="T35" i="2"/>
  <c r="G35" i="2" a="1"/>
  <c r="G35" i="2"/>
  <c r="B35" i="2"/>
  <c r="T34" i="2"/>
  <c r="G34" i="2" a="1"/>
  <c r="G34" i="2"/>
  <c r="B34" i="2"/>
  <c r="T33" i="2"/>
  <c r="G33" i="2" a="1"/>
  <c r="G33" i="2"/>
  <c r="B33" i="2"/>
  <c r="T32" i="2"/>
  <c r="G32" i="2" a="1"/>
  <c r="G32" i="2"/>
  <c r="B32" i="2"/>
  <c r="T31" i="2"/>
  <c r="G31" i="2" a="1"/>
  <c r="G31" i="2"/>
  <c r="B31" i="2"/>
  <c r="T30" i="2"/>
  <c r="G30" i="2" a="1"/>
  <c r="G30" i="2"/>
  <c r="B30" i="2"/>
  <c r="T29" i="2"/>
  <c r="G29" i="2" a="1"/>
  <c r="G29" i="2"/>
  <c r="B29" i="2"/>
  <c r="T28" i="2"/>
  <c r="G28" i="2" a="1"/>
  <c r="G28" i="2"/>
  <c r="B28" i="2"/>
  <c r="T27" i="2"/>
  <c r="G27" i="2" a="1"/>
  <c r="G27" i="2"/>
  <c r="B27" i="2"/>
  <c r="T26" i="2"/>
  <c r="G26" i="2" a="1"/>
  <c r="G26" i="2"/>
  <c r="B26" i="2"/>
  <c r="T25" i="2"/>
  <c r="G25" i="2" a="1"/>
  <c r="G25" i="2"/>
  <c r="B25" i="2"/>
  <c r="T24" i="2"/>
  <c r="G24" i="2" a="1"/>
  <c r="G24" i="2"/>
  <c r="B24" i="2"/>
  <c r="T23" i="2"/>
  <c r="G23" i="2" a="1"/>
  <c r="G23" i="2"/>
  <c r="B23" i="2"/>
  <c r="T22" i="2"/>
  <c r="G22" i="2" a="1"/>
  <c r="G22" i="2"/>
  <c r="B22" i="2"/>
  <c r="T21" i="2"/>
  <c r="G21" i="2" a="1"/>
  <c r="G21" i="2"/>
  <c r="B21" i="2"/>
  <c r="T20" i="2"/>
  <c r="G20" i="2" a="1"/>
  <c r="G20" i="2"/>
  <c r="B20" i="2"/>
  <c r="T19" i="2"/>
  <c r="G19" i="2" a="1"/>
  <c r="G19" i="2"/>
  <c r="B19" i="2"/>
  <c r="T18" i="2"/>
  <c r="G18" i="2" a="1"/>
  <c r="G18" i="2"/>
  <c r="B18" i="2"/>
  <c r="T17" i="2"/>
  <c r="G17" i="2" a="1"/>
  <c r="G17" i="2"/>
  <c r="B17" i="2"/>
  <c r="T16" i="2"/>
  <c r="G16" i="2" a="1"/>
  <c r="G16" i="2"/>
  <c r="B16" i="2"/>
  <c r="T15" i="2"/>
  <c r="G15" i="2" a="1"/>
  <c r="G15" i="2"/>
  <c r="B15" i="2"/>
  <c r="T14" i="2"/>
  <c r="G14" i="2" a="1"/>
  <c r="G14" i="2"/>
  <c r="B14" i="2"/>
  <c r="T13" i="2"/>
  <c r="G13" i="2" a="1"/>
  <c r="G13" i="2"/>
  <c r="B13" i="2"/>
  <c r="T12" i="2"/>
  <c r="G12" i="2" a="1"/>
  <c r="G12" i="2"/>
  <c r="B12" i="2"/>
  <c r="T11" i="2"/>
  <c r="G11" i="2" a="1"/>
  <c r="G11" i="2"/>
  <c r="B11" i="2"/>
  <c r="T10" i="2"/>
  <c r="G10" i="2" a="1"/>
  <c r="G10" i="2"/>
  <c r="B10" i="2"/>
  <c r="T9" i="2"/>
  <c r="G9" i="2" a="1"/>
  <c r="G9" i="2"/>
  <c r="B9" i="2"/>
  <c r="T8" i="2"/>
  <c r="G8" i="2" a="1"/>
  <c r="G8" i="2"/>
  <c r="B8" i="2"/>
  <c r="T7" i="2"/>
  <c r="G7" i="2" a="1"/>
  <c r="G7" i="2"/>
  <c r="B7" i="2"/>
  <c r="T5" i="2"/>
  <c r="G5" i="2" a="1"/>
  <c r="G5" i="2"/>
  <c r="B5" i="2"/>
  <c r="AG3" i="2"/>
  <c r="AF3" i="2"/>
  <c r="AE3" i="2"/>
  <c r="AD3" i="2"/>
  <c r="AC3" i="2"/>
  <c r="AB3" i="2"/>
  <c r="AA3" i="2"/>
  <c r="Z3" i="2"/>
  <c r="Y3" i="2"/>
  <c r="X3" i="2"/>
  <c r="W3" i="2"/>
  <c r="V3" i="2"/>
  <c r="S3" i="2"/>
  <c r="R3" i="2"/>
  <c r="Q3" i="2"/>
  <c r="P3" i="2"/>
  <c r="O3" i="2"/>
  <c r="N3" i="2"/>
  <c r="M3" i="2"/>
  <c r="L3" i="2"/>
  <c r="K3" i="2"/>
  <c r="J3" i="2"/>
  <c r="I3" i="2"/>
  <c r="H3" i="2"/>
  <c r="AE71" i="1"/>
  <c r="AA71" i="1"/>
  <c r="W71" i="1"/>
  <c r="U71" i="1" a="1"/>
  <c r="U71" i="1"/>
  <c r="AD71" i="1" s="1"/>
  <c r="T71" i="1"/>
  <c r="AH71" i="1" s="1"/>
  <c r="G71" i="1" a="1"/>
  <c r="G71" i="1"/>
  <c r="B71" i="1"/>
  <c r="T70" i="1"/>
  <c r="G70" i="1" a="1"/>
  <c r="G70" i="1"/>
  <c r="B70" i="1"/>
  <c r="T69" i="1"/>
  <c r="G69" i="1" a="1"/>
  <c r="G69" i="1"/>
  <c r="B69" i="1"/>
  <c r="T68" i="1"/>
  <c r="G68" i="1" a="1"/>
  <c r="G68" i="1"/>
  <c r="B68" i="1"/>
  <c r="T67" i="1"/>
  <c r="G67" i="1" a="1"/>
  <c r="G67" i="1"/>
  <c r="B67" i="1"/>
  <c r="T66" i="1"/>
  <c r="G66" i="1" a="1"/>
  <c r="G66" i="1"/>
  <c r="B66" i="1"/>
  <c r="T65" i="1"/>
  <c r="G65" i="1" a="1"/>
  <c r="G65" i="1"/>
  <c r="B65" i="1"/>
  <c r="T64" i="1"/>
  <c r="G64" i="1" a="1"/>
  <c r="G64" i="1"/>
  <c r="B64" i="1"/>
  <c r="T63" i="1"/>
  <c r="G63" i="1" a="1"/>
  <c r="G63" i="1"/>
  <c r="B63" i="1"/>
  <c r="T62" i="1"/>
  <c r="G62" i="1" a="1"/>
  <c r="G62" i="1"/>
  <c r="B62" i="1"/>
  <c r="T61" i="1"/>
  <c r="G61" i="1" a="1"/>
  <c r="G61" i="1"/>
  <c r="B61" i="1"/>
  <c r="T60" i="1"/>
  <c r="G60" i="1" a="1"/>
  <c r="G60" i="1"/>
  <c r="B60" i="1"/>
  <c r="T59" i="1"/>
  <c r="G59" i="1" a="1"/>
  <c r="G59" i="1"/>
  <c r="B59" i="1"/>
  <c r="T58" i="1"/>
  <c r="G58" i="1" a="1"/>
  <c r="G58" i="1"/>
  <c r="B58" i="1"/>
  <c r="T57" i="1"/>
  <c r="G57" i="1" a="1"/>
  <c r="G57" i="1"/>
  <c r="B57" i="1"/>
  <c r="T56" i="1"/>
  <c r="G56" i="1" a="1"/>
  <c r="G56" i="1"/>
  <c r="B56" i="1"/>
  <c r="T55" i="1"/>
  <c r="G55" i="1" a="1"/>
  <c r="G55" i="1"/>
  <c r="B55" i="1"/>
  <c r="T54" i="1"/>
  <c r="G54" i="1" a="1"/>
  <c r="G54" i="1"/>
  <c r="B54" i="1"/>
  <c r="T53" i="1"/>
  <c r="G53" i="1" a="1"/>
  <c r="G53" i="1"/>
  <c r="B53" i="1"/>
  <c r="T52" i="1"/>
  <c r="G52" i="1" a="1"/>
  <c r="G52" i="1"/>
  <c r="B52" i="1"/>
  <c r="T51" i="1"/>
  <c r="G51" i="1" a="1"/>
  <c r="G51" i="1"/>
  <c r="B51" i="1"/>
  <c r="T50" i="1"/>
  <c r="G50" i="1" a="1"/>
  <c r="G50" i="1"/>
  <c r="B50" i="1"/>
  <c r="T49" i="1"/>
  <c r="G49" i="1" a="1"/>
  <c r="G49" i="1"/>
  <c r="B49" i="1"/>
  <c r="T48" i="1"/>
  <c r="G48" i="1" a="1"/>
  <c r="G48" i="1"/>
  <c r="B48" i="1"/>
  <c r="T47" i="1"/>
  <c r="G47" i="1" a="1"/>
  <c r="G47" i="1"/>
  <c r="B47" i="1"/>
  <c r="T46" i="1"/>
  <c r="G46" i="1" a="1"/>
  <c r="G46" i="1"/>
  <c r="B46" i="1"/>
  <c r="T45" i="1"/>
  <c r="G45" i="1" a="1"/>
  <c r="G45" i="1"/>
  <c r="B45" i="1"/>
  <c r="T44" i="1"/>
  <c r="G44" i="1" a="1"/>
  <c r="G44" i="1"/>
  <c r="B44" i="1"/>
  <c r="T43" i="1"/>
  <c r="G43" i="1" a="1"/>
  <c r="G43" i="1"/>
  <c r="B43" i="1"/>
  <c r="T42" i="1"/>
  <c r="G42" i="1" a="1"/>
  <c r="G42" i="1"/>
  <c r="B42" i="1"/>
  <c r="T41" i="1"/>
  <c r="G41" i="1" a="1"/>
  <c r="G41" i="1"/>
  <c r="B41" i="1"/>
  <c r="T40" i="1"/>
  <c r="G40" i="1" a="1"/>
  <c r="G40" i="1"/>
  <c r="B40" i="1"/>
  <c r="T39" i="1"/>
  <c r="G39" i="1" a="1"/>
  <c r="G39" i="1"/>
  <c r="B39" i="1"/>
  <c r="T38" i="1"/>
  <c r="G38" i="1" a="1"/>
  <c r="G38" i="1"/>
  <c r="B38" i="1"/>
  <c r="T37" i="1"/>
  <c r="G37" i="1" a="1"/>
  <c r="G37" i="1"/>
  <c r="B37" i="1"/>
  <c r="T36" i="1"/>
  <c r="G36" i="1" a="1"/>
  <c r="G36" i="1"/>
  <c r="B36" i="1"/>
  <c r="T35" i="1"/>
  <c r="G35" i="1" a="1"/>
  <c r="G35" i="1"/>
  <c r="B35" i="1"/>
  <c r="T34" i="1"/>
  <c r="G34" i="1" a="1"/>
  <c r="G34" i="1"/>
  <c r="B34" i="1"/>
  <c r="T33" i="1"/>
  <c r="G33" i="1" a="1"/>
  <c r="G33" i="1"/>
  <c r="B33" i="1"/>
  <c r="T32" i="1"/>
  <c r="G32" i="1" a="1"/>
  <c r="G32" i="1"/>
  <c r="B32" i="1"/>
  <c r="T31" i="1"/>
  <c r="G31" i="1" a="1"/>
  <c r="G31" i="1"/>
  <c r="B31" i="1"/>
  <c r="T30" i="1"/>
  <c r="G30" i="1" a="1"/>
  <c r="G30" i="1"/>
  <c r="B30" i="1"/>
  <c r="T29" i="1"/>
  <c r="G29" i="1" a="1"/>
  <c r="G29" i="1"/>
  <c r="B29" i="1"/>
  <c r="T28" i="1"/>
  <c r="G28" i="1" a="1"/>
  <c r="G28" i="1"/>
  <c r="B28" i="1"/>
  <c r="T27" i="1"/>
  <c r="G27" i="1" a="1"/>
  <c r="G27" i="1"/>
  <c r="B27" i="1"/>
  <c r="T26" i="1"/>
  <c r="G26" i="1" a="1"/>
  <c r="G26" i="1"/>
  <c r="B26" i="1"/>
  <c r="T25" i="1"/>
  <c r="G25" i="1" a="1"/>
  <c r="G25" i="1"/>
  <c r="B25" i="1"/>
  <c r="T24" i="1"/>
  <c r="G24" i="1" a="1"/>
  <c r="G24" i="1"/>
  <c r="B24" i="1"/>
  <c r="T23" i="1"/>
  <c r="G23" i="1" a="1"/>
  <c r="G23" i="1"/>
  <c r="B23" i="1"/>
  <c r="T22" i="1"/>
  <c r="G22" i="1" a="1"/>
  <c r="G22" i="1"/>
  <c r="B22" i="1"/>
  <c r="T21" i="1"/>
  <c r="G21" i="1" a="1"/>
  <c r="G21" i="1"/>
  <c r="B21" i="1"/>
  <c r="T20" i="1"/>
  <c r="G20" i="1" a="1"/>
  <c r="G20" i="1"/>
  <c r="B20" i="1"/>
  <c r="T19" i="1"/>
  <c r="G19" i="1" a="1"/>
  <c r="G19" i="1"/>
  <c r="B19" i="1"/>
  <c r="T18" i="1"/>
  <c r="G18" i="1" a="1"/>
  <c r="G18" i="1"/>
  <c r="B18" i="1"/>
  <c r="T17" i="1"/>
  <c r="G17" i="1" a="1"/>
  <c r="G17" i="1"/>
  <c r="B17" i="1"/>
  <c r="T16" i="1"/>
  <c r="G16" i="1" a="1"/>
  <c r="G16" i="1"/>
  <c r="B16" i="1"/>
  <c r="T15" i="1"/>
  <c r="G15" i="1" a="1"/>
  <c r="G15" i="1"/>
  <c r="B15" i="1"/>
  <c r="T14" i="1"/>
  <c r="G14" i="1" a="1"/>
  <c r="G14" i="1"/>
  <c r="B14" i="1"/>
  <c r="T13" i="1"/>
  <c r="G13" i="1" a="1"/>
  <c r="G13" i="1"/>
  <c r="B13" i="1"/>
  <c r="T12" i="1"/>
  <c r="G12" i="1" a="1"/>
  <c r="G12" i="1"/>
  <c r="B12" i="1"/>
  <c r="T11" i="1"/>
  <c r="G11" i="1" a="1"/>
  <c r="G11" i="1"/>
  <c r="B11" i="1"/>
  <c r="T10" i="1"/>
  <c r="G10" i="1" a="1"/>
  <c r="G10" i="1"/>
  <c r="B10" i="1"/>
  <c r="T9" i="1"/>
  <c r="G9" i="1" a="1"/>
  <c r="G9" i="1"/>
  <c r="B9" i="1"/>
  <c r="T8" i="1"/>
  <c r="G8" i="1" a="1"/>
  <c r="G8" i="1" s="1"/>
  <c r="B8" i="1"/>
  <c r="T7" i="1"/>
  <c r="G7" i="1" a="1"/>
  <c r="G7" i="1" s="1"/>
  <c r="B7" i="1"/>
  <c r="T6" i="1"/>
  <c r="G6" i="1" a="1"/>
  <c r="G6" i="1" s="1"/>
  <c r="B6" i="1"/>
  <c r="T4" i="1"/>
  <c r="G4" i="1" a="1"/>
  <c r="G4" i="1" s="1"/>
  <c r="B4" i="1"/>
  <c r="S3" i="1"/>
  <c r="R3" i="1"/>
  <c r="Q3" i="1"/>
  <c r="P3" i="1"/>
  <c r="O3" i="1"/>
  <c r="N3" i="1"/>
  <c r="M3" i="1"/>
  <c r="L3" i="1"/>
  <c r="K3" i="1"/>
  <c r="J3" i="1"/>
  <c r="I3" i="1"/>
  <c r="H3" i="1"/>
  <c r="X71" i="1" l="1"/>
  <c r="AB71" i="1"/>
  <c r="AF71" i="1"/>
  <c r="Y71" i="1"/>
  <c r="AC71" i="1"/>
  <c r="AG71" i="1"/>
  <c r="V71" i="1"/>
  <c r="Z71" i="1"/>
</calcChain>
</file>

<file path=xl/sharedStrings.xml><?xml version="1.0" encoding="utf-8"?>
<sst xmlns="http://schemas.openxmlformats.org/spreadsheetml/2006/main" count="1353" uniqueCount="151">
  <si>
    <t>Source ID</t>
  </si>
  <si>
    <t>Reference Year</t>
  </si>
  <si>
    <t>Scope</t>
  </si>
  <si>
    <t>Source Description</t>
  </si>
  <si>
    <t>Activity Data</t>
  </si>
  <si>
    <t>Activity Data Description</t>
  </si>
  <si>
    <t>Units</t>
  </si>
  <si>
    <t>Emission Factor</t>
  </si>
  <si>
    <t>Total</t>
  </si>
  <si>
    <t>Total Emission (Annual)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</si>
  <si>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</si>
  <si>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</si>
  <si>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</si>
  <si>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</si>
  <si>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</si>
  <si>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</si>
  <si>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</si>
  <si>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</si>
  <si>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</si>
  <si>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</si>
  <si>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</si>
  <si>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</si>
  <si>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MJG-001</t>
  </si>
  <si>
    <t>Scope 1</t>
  </si>
  <si>
    <t>Manjung Power Plant</t>
  </si>
  <si>
    <t>Stationary Combustion</t>
  </si>
  <si>
    <t>Natural Gas</t>
  </si>
  <si>
    <t>GJ</t>
  </si>
  <si>
    <t>Plant-A</t>
  </si>
  <si>
    <t>Flare Stack</t>
  </si>
  <si>
    <t>Flaring</t>
  </si>
  <si>
    <t>m³</t>
  </si>
  <si>
    <t>Flare Tip</t>
  </si>
  <si>
    <t>Flare Tip 2</t>
  </si>
  <si>
    <t>Fugitive Emission</t>
  </si>
  <si>
    <t>Plant-B</t>
  </si>
  <si>
    <t>Ammonia Flare</t>
  </si>
  <si>
    <t>Plant-C</t>
  </si>
  <si>
    <t>Flare</t>
  </si>
  <si>
    <t>Sales Gas to Flare</t>
  </si>
  <si>
    <t>CO2 Regenerator Venting</t>
  </si>
  <si>
    <t>Venting</t>
  </si>
  <si>
    <t>Plant-D</t>
  </si>
  <si>
    <t>Pilot Burner (Tank Flare)</t>
  </si>
  <si>
    <t>Pilot Burner (Acid Gas Flare)</t>
  </si>
  <si>
    <t>Pilot Burner (Main Flare)</t>
  </si>
  <si>
    <t>Furnace</t>
  </si>
  <si>
    <t>Main Flare</t>
  </si>
  <si>
    <t>Main Flare (Cracked Gas)</t>
  </si>
  <si>
    <t>Acid Flare (CO2 Removal)</t>
  </si>
  <si>
    <t>Acid Flare (Caustic Scrubber)</t>
  </si>
  <si>
    <t>Tank Flare</t>
  </si>
  <si>
    <t>Main Flare (Propylene)</t>
  </si>
  <si>
    <t>Main Flare (Ethylene)</t>
  </si>
  <si>
    <t>Acid Flare (NG)</t>
  </si>
  <si>
    <t>Plant-E</t>
  </si>
  <si>
    <t>Thermal Oxidizer - Sales gas</t>
  </si>
  <si>
    <t>Scope 2</t>
  </si>
  <si>
    <t>Indirect Emission - Electricity</t>
  </si>
  <si>
    <t>Purchased Electricity</t>
  </si>
  <si>
    <t>Peninsular Malaysia Tenaga Nasional Bhd</t>
  </si>
  <si>
    <t>kWh</t>
  </si>
  <si>
    <t>Indirect Emission - Steam</t>
  </si>
  <si>
    <t>Purchased Steam</t>
  </si>
  <si>
    <t>HHP Steam</t>
  </si>
  <si>
    <t>MMBTU</t>
  </si>
  <si>
    <t>Thermal Oxidizer - Hydrocarbon</t>
  </si>
  <si>
    <t>Thermal Oxidizer - Butanol</t>
  </si>
  <si>
    <t>Thermal Oxidizer - Butyl Glycol Ether (BGE)</t>
  </si>
  <si>
    <t>Department Pickup Truck (Plate No.)</t>
  </si>
  <si>
    <t>Mobile Sources</t>
  </si>
  <si>
    <t>Light-Duty Trucks (Gasoline)</t>
  </si>
  <si>
    <t>km</t>
  </si>
  <si>
    <t>Department Car (Plate No.)</t>
  </si>
  <si>
    <t>Passenger Cars (Gasoline)</t>
  </si>
  <si>
    <t>&lt;Company&gt; - Carbon Emission Quantification</t>
  </si>
  <si>
    <t>Year</t>
  </si>
  <si>
    <t>Emissions (in unit)</t>
  </si>
  <si>
    <t>Emissions (in tCO2e)</t>
  </si>
  <si>
    <t>Source
ID</t>
  </si>
  <si>
    <t>Reference
Year</t>
  </si>
  <si>
    <t>Source
Description</t>
  </si>
  <si>
    <t>Emission
Factor</t>
  </si>
  <si>
    <t>Total
Emission (Annual)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</si>
  <si>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</si>
  <si>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</si>
  <si>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</si>
  <si>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</si>
  <si>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</si>
  <si>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</si>
  <si>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</si>
  <si>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</si>
  <si>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</si>
  <si>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</si>
  <si>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</si>
  <si>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</si>
  <si>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</si>
  <si>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</si>
  <si>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</si>
  <si>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</si>
  <si>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</si>
  <si>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</si>
  <si>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</si>
  <si>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</si>
  <si>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0.00184</t>
  </si>
  <si>
    <t>278.100</t>
  </si>
  <si>
    <t>221.754</t>
  </si>
  <si>
    <t>19.036</t>
  </si>
  <si>
    <t>319.459</t>
  </si>
  <si>
    <t>620.559</t>
  </si>
  <si>
    <t>678.557</t>
  </si>
  <si>
    <t>596.514</t>
  </si>
  <si>
    <t>650.054</t>
  </si>
  <si>
    <t>600.273</t>
  </si>
  <si>
    <t>653.010</t>
  </si>
  <si>
    <t>520.305</t>
  </si>
  <si>
    <t>714.586</t>
  </si>
  <si>
    <t>5872.208</t>
  </si>
  <si>
    <t>Scope 3</t>
  </si>
  <si>
    <t>Business Travel</t>
  </si>
  <si>
    <t>Staff ID 1</t>
  </si>
  <si>
    <t>Passenger Car</t>
  </si>
  <si>
    <t>Staff ID 2</t>
  </si>
  <si>
    <t>Motorcycle</t>
  </si>
  <si>
    <t>Staff ID 3</t>
  </si>
  <si>
    <t>Staff ID 4</t>
  </si>
  <si>
    <t>Staff ID 5</t>
  </si>
  <si>
    <t>Staff ID 6</t>
  </si>
  <si>
    <t>Staff ID 7</t>
  </si>
  <si>
    <t>Bus</t>
  </si>
  <si>
    <t>Staff ID 8</t>
  </si>
  <si>
    <t>Staff ID 9</t>
  </si>
  <si>
    <t>Air Short Haul (&lt; 482 km)</t>
  </si>
  <si>
    <t>Staff ID 10</t>
  </si>
  <si>
    <t>Air Long Haul (&gt;= 3700 km)</t>
  </si>
  <si>
    <t>Commuting</t>
  </si>
  <si>
    <t>Input (Annual)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</si>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</sst>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yyyy"/>
    <numFmt numFmtId="166" formatCode="0.00000"/>
    <numFmt numFmtId="167" formatCode="mmm"/>
  </numFmts>
  <fonts count="11">
    <font>
      <sz val="11"/>
      <color theme="1"/>
      <name val="Calibri"/>
      <family val="2"/>
      <scheme val="minor"/>
    </font>
    <font>
      <sz val="10"/>
      <name val="Arial"/>
      <charset val="134"/>
    </font>
    <font>
      <sz val="10"/>
      <name val="Arial"/>
      <family val="2"/>
    </font>
    <font>
      <i/>
      <sz val="10"/>
      <color rgb="FF138376"/>
      <name val="Arial"/>
      <family val="2"/>
    </font>
    <font>
      <b/>
      <sz val="10"/>
      <name val="Arial"/>
      <family val="2"/>
    </font>
    <font>
      <sz val="18"/>
      <color theme="1"/>
      <name val="Calibri"/>
      <family val="2"/>
      <scheme val="minor"/>
    </font>
    <font>
      <sz val="18"/>
      <name val="Arial"/>
      <family val="2"/>
    </font>
    <font>
      <b/>
      <sz val="18"/>
      <name val="Arial"/>
      <family val="2"/>
    </font>
    <font>
      <b/>
      <i/>
      <sz val="18"/>
      <name val="Arial"/>
      <family val="2"/>
    </font>
    <font>
      <b/>
      <sz val="10"/>
      <name val="Arial"/>
      <charset val="134"/>
    </font>
    <font>
      <i/>
      <sz val="10"/>
      <color indexed="21"/>
      <name val="Arial"/>
      <charset val="134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4DCF8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5E6A2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ashed">
        <color indexed="64"/>
      </bottom>
      <diagonal/>
    </border>
    <border>
      <left/>
      <right style="thin">
        <color indexed="64"/>
      </right>
      <top style="medium">
        <color indexed="64"/>
      </top>
      <bottom style="dashed">
        <color indexed="64"/>
      </bottom>
      <diagonal/>
    </border>
    <border>
      <left style="thin">
        <color indexed="64"/>
      </left>
      <right/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85">
    <xf numFmtId="0" fontId="0" fillId="0" borderId="0" xfId="0"/>
    <xf numFmtId="164" fontId="1" fillId="0" borderId="1" xfId="0" applyNumberFormat="1" applyFont="1" applyBorder="1" applyAlignment="1">
      <alignment vertical="center"/>
    </xf>
    <xf numFmtId="164" fontId="0" fillId="0" borderId="0" xfId="0" applyNumberFormat="1"/>
    <xf numFmtId="165" fontId="0" fillId="0" borderId="0" xfId="0" applyNumberFormat="1"/>
    <xf numFmtId="164" fontId="2" fillId="0" borderId="2" xfId="1" applyNumberFormat="1" applyBorder="1" applyAlignment="1">
      <alignment vertical="center"/>
    </xf>
    <xf numFmtId="164" fontId="2" fillId="0" borderId="3" xfId="1" applyNumberFormat="1" applyBorder="1" applyAlignment="1">
      <alignment vertical="center"/>
    </xf>
    <xf numFmtId="166" fontId="2" fillId="2" borderId="3" xfId="1" applyNumberFormat="1" applyFill="1" applyBorder="1" applyAlignment="1">
      <alignment vertical="center"/>
    </xf>
    <xf numFmtId="0" fontId="2" fillId="0" borderId="3" xfId="1" applyBorder="1" applyAlignment="1">
      <alignment vertical="center"/>
    </xf>
    <xf numFmtId="0" fontId="2" fillId="3" borderId="4" xfId="1" applyFill="1" applyBorder="1" applyAlignment="1" applyProtection="1">
      <alignment vertical="center"/>
      <protection locked="0"/>
    </xf>
    <xf numFmtId="0" fontId="2" fillId="3" borderId="5" xfId="1" applyFill="1" applyBorder="1" applyAlignment="1" applyProtection="1">
      <alignment vertical="center"/>
      <protection locked="0"/>
    </xf>
    <xf numFmtId="0" fontId="2" fillId="3" borderId="6" xfId="1" applyFill="1" applyBorder="1" applyAlignment="1" applyProtection="1">
      <alignment vertical="center"/>
      <protection locked="0"/>
    </xf>
    <xf numFmtId="0" fontId="2" fillId="3" borderId="7" xfId="1" applyFill="1" applyBorder="1" applyAlignment="1" applyProtection="1">
      <alignment vertical="center"/>
      <protection locked="0"/>
    </xf>
    <xf numFmtId="165" fontId="2" fillId="3" borderId="8" xfId="1" applyNumberFormat="1" applyFill="1" applyBorder="1" applyAlignment="1" applyProtection="1">
      <alignment horizontal="left" vertical="center"/>
      <protection locked="0"/>
    </xf>
    <xf numFmtId="0" fontId="2" fillId="3" borderId="9" xfId="1" applyFill="1" applyBorder="1" applyAlignment="1" applyProtection="1">
      <alignment vertical="center"/>
      <protection locked="0"/>
    </xf>
    <xf numFmtId="165" fontId="2" fillId="3" borderId="10" xfId="1" applyNumberFormat="1" applyFill="1" applyBorder="1" applyAlignment="1" applyProtection="1">
      <alignment horizontal="left" vertical="center"/>
      <protection locked="0"/>
    </xf>
    <xf numFmtId="0" fontId="2" fillId="3" borderId="11" xfId="1" applyFill="1" applyBorder="1" applyAlignment="1" applyProtection="1">
      <alignment vertical="center"/>
      <protection locked="0"/>
    </xf>
    <xf numFmtId="0" fontId="0" fillId="0" borderId="0" xfId="0" applyAlignment="1">
      <alignment vertical="center"/>
    </xf>
    <xf numFmtId="164" fontId="2" fillId="0" borderId="12" xfId="1" applyNumberFormat="1" applyBorder="1" applyAlignment="1">
      <alignment vertical="center"/>
    </xf>
    <xf numFmtId="164" fontId="2" fillId="0" borderId="13" xfId="1" applyNumberFormat="1" applyBorder="1" applyAlignment="1">
      <alignment vertical="center"/>
    </xf>
    <xf numFmtId="166" fontId="2" fillId="2" borderId="13" xfId="1" applyNumberFormat="1" applyFill="1" applyBorder="1" applyAlignment="1">
      <alignment vertical="center"/>
    </xf>
    <xf numFmtId="0" fontId="2" fillId="0" borderId="13" xfId="1" applyBorder="1" applyAlignment="1">
      <alignment vertical="center"/>
    </xf>
    <xf numFmtId="0" fontId="2" fillId="3" borderId="10" xfId="1" applyFill="1" applyBorder="1" applyAlignment="1" applyProtection="1">
      <alignment vertical="center"/>
      <protection locked="0"/>
    </xf>
    <xf numFmtId="165" fontId="2" fillId="3" borderId="14" xfId="1" applyNumberFormat="1" applyFill="1" applyBorder="1" applyAlignment="1" applyProtection="1">
      <alignment horizontal="left" vertical="center"/>
      <protection locked="0"/>
    </xf>
    <xf numFmtId="0" fontId="2" fillId="3" borderId="15" xfId="1" applyFill="1" applyBorder="1" applyAlignment="1" applyProtection="1">
      <alignment vertical="center"/>
      <protection locked="0"/>
    </xf>
    <xf numFmtId="0" fontId="2" fillId="3" borderId="14" xfId="1" applyFill="1" applyBorder="1" applyAlignment="1" applyProtection="1">
      <alignment vertical="center"/>
      <protection locked="0"/>
    </xf>
    <xf numFmtId="0" fontId="2" fillId="3" borderId="16" xfId="1" applyFill="1" applyBorder="1" applyAlignment="1" applyProtection="1">
      <alignment vertical="center"/>
      <protection locked="0"/>
    </xf>
    <xf numFmtId="164" fontId="3" fillId="4" borderId="18" xfId="1" applyNumberFormat="1" applyFont="1" applyFill="1" applyBorder="1" applyAlignment="1">
      <alignment vertical="center"/>
    </xf>
    <xf numFmtId="164" fontId="3" fillId="4" borderId="19" xfId="1" applyNumberFormat="1" applyFont="1" applyFill="1" applyBorder="1" applyAlignment="1">
      <alignment vertical="center"/>
    </xf>
    <xf numFmtId="164" fontId="3" fillId="4" borderId="20" xfId="1" applyNumberFormat="1" applyFont="1" applyFill="1" applyBorder="1" applyAlignment="1">
      <alignment vertical="center"/>
    </xf>
    <xf numFmtId="165" fontId="3" fillId="4" borderId="18" xfId="1" applyNumberFormat="1" applyFont="1" applyFill="1" applyBorder="1" applyAlignment="1">
      <alignment horizontal="left" vertical="center"/>
    </xf>
    <xf numFmtId="17" fontId="4" fillId="5" borderId="21" xfId="1" applyNumberFormat="1" applyFont="1" applyFill="1" applyBorder="1" applyAlignment="1">
      <alignment horizontal="center" vertical="center"/>
    </xf>
    <xf numFmtId="167" fontId="4" fillId="5" borderId="17" xfId="1" applyNumberFormat="1" applyFont="1" applyFill="1" applyBorder="1" applyAlignment="1">
      <alignment horizontal="center" vertical="center"/>
    </xf>
    <xf numFmtId="0" fontId="4" fillId="5" borderId="17" xfId="1" applyFont="1" applyFill="1" applyBorder="1" applyAlignment="1">
      <alignment horizontal="center" vertical="center"/>
    </xf>
    <xf numFmtId="0" fontId="4" fillId="5" borderId="22" xfId="1" applyFont="1" applyFill="1" applyBorder="1" applyAlignment="1">
      <alignment horizontal="center" vertical="center"/>
    </xf>
    <xf numFmtId="0" fontId="4" fillId="5" borderId="22" xfId="1" applyFont="1" applyFill="1" applyBorder="1" applyAlignment="1">
      <alignment horizontal="center" vertical="center" wrapText="1"/>
    </xf>
    <xf numFmtId="165" fontId="4" fillId="5" borderId="21" xfId="1" applyNumberFormat="1" applyFont="1" applyFill="1" applyBorder="1" applyAlignment="1">
      <alignment horizontal="center" vertical="center" wrapText="1"/>
    </xf>
    <xf numFmtId="0" fontId="4" fillId="5" borderId="23" xfId="1" applyFont="1" applyFill="1" applyBorder="1" applyAlignment="1">
      <alignment horizontal="center" vertical="center" wrapText="1"/>
    </xf>
    <xf numFmtId="0" fontId="2" fillId="7" borderId="0" xfId="1" applyFill="1"/>
    <xf numFmtId="165" fontId="2" fillId="7" borderId="0" xfId="1" applyNumberFormat="1" applyFill="1"/>
    <xf numFmtId="0" fontId="5" fillId="0" borderId="0" xfId="0" applyFont="1"/>
    <xf numFmtId="0" fontId="6" fillId="7" borderId="0" xfId="1" applyFont="1" applyFill="1"/>
    <xf numFmtId="0" fontId="6" fillId="4" borderId="0" xfId="1" applyFont="1" applyFill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center" vertical="center"/>
    </xf>
    <xf numFmtId="0" fontId="8" fillId="7" borderId="0" xfId="1" applyFont="1" applyFill="1"/>
    <xf numFmtId="165" fontId="8" fillId="7" borderId="0" xfId="1" applyNumberFormat="1" applyFont="1" applyFill="1"/>
    <xf numFmtId="0" fontId="1" fillId="8" borderId="0" xfId="0" applyFont="1" applyFill="1"/>
    <xf numFmtId="167" fontId="9" fillId="10" borderId="28" xfId="0" applyNumberFormat="1" applyFont="1" applyFill="1" applyBorder="1" applyAlignment="1">
      <alignment horizontal="center" vertical="center" wrapText="1"/>
    </xf>
    <xf numFmtId="17" fontId="9" fillId="10" borderId="28" xfId="0" applyNumberFormat="1" applyFont="1" applyFill="1" applyBorder="1" applyAlignment="1">
      <alignment horizontal="center" vertical="center"/>
    </xf>
    <xf numFmtId="164" fontId="10" fillId="8" borderId="29" xfId="0" applyNumberFormat="1" applyFont="1" applyFill="1" applyBorder="1" applyAlignment="1">
      <alignment vertical="center"/>
    </xf>
    <xf numFmtId="164" fontId="10" fillId="8" borderId="30" xfId="0" applyNumberFormat="1" applyFont="1" applyFill="1" applyBorder="1" applyAlignment="1">
      <alignment vertical="center"/>
    </xf>
    <xf numFmtId="164" fontId="10" fillId="8" borderId="31" xfId="0" applyNumberFormat="1" applyFont="1" applyFill="1" applyBorder="1" applyAlignment="1">
      <alignment vertical="center"/>
    </xf>
    <xf numFmtId="166" fontId="1" fillId="11" borderId="1" xfId="0" applyNumberFormat="1" applyFont="1" applyFill="1" applyBorder="1" applyAlignment="1">
      <alignment vertical="center"/>
    </xf>
    <xf numFmtId="164" fontId="1" fillId="0" borderId="32" xfId="0" applyNumberFormat="1" applyFont="1" applyBorder="1" applyAlignment="1">
      <alignment vertical="center"/>
    </xf>
    <xf numFmtId="166" fontId="1" fillId="11" borderId="33" xfId="0" applyNumberFormat="1" applyFont="1" applyFill="1" applyBorder="1" applyAlignment="1">
      <alignment vertical="center"/>
    </xf>
    <xf numFmtId="164" fontId="1" fillId="0" borderId="33" xfId="0" applyNumberFormat="1" applyFont="1" applyBorder="1" applyAlignment="1">
      <alignment vertical="center"/>
    </xf>
    <xf numFmtId="164" fontId="1" fillId="0" borderId="34" xfId="0" applyNumberFormat="1" applyFont="1" applyBorder="1" applyAlignment="1">
      <alignment vertical="center"/>
    </xf>
    <xf numFmtId="167" fontId="4" fillId="5" borderId="38" xfId="1" applyNumberFormat="1" applyFont="1" applyFill="1" applyBorder="1" applyAlignment="1">
      <alignment horizontal="center" vertical="center"/>
    </xf>
    <xf numFmtId="0" fontId="3" fillId="4" borderId="39" xfId="1" applyFont="1" applyFill="1" applyBorder="1" applyAlignment="1">
      <alignment vertical="center"/>
    </xf>
    <xf numFmtId="165" fontId="3" fillId="4" borderId="39" xfId="1" applyNumberFormat="1" applyFont="1" applyFill="1" applyBorder="1" applyAlignment="1">
      <alignment horizontal="left" vertical="center"/>
    </xf>
    <xf numFmtId="0" fontId="3" fillId="4" borderId="40" xfId="1" applyFont="1" applyFill="1" applyBorder="1" applyAlignment="1">
      <alignment vertical="center"/>
    </xf>
    <xf numFmtId="0" fontId="3" fillId="4" borderId="41" xfId="1" applyFont="1" applyFill="1" applyBorder="1" applyAlignment="1">
      <alignment vertical="center"/>
    </xf>
    <xf numFmtId="0" fontId="3" fillId="4" borderId="42" xfId="1" applyFont="1" applyFill="1" applyBorder="1" applyAlignment="1">
      <alignment vertical="center"/>
    </xf>
    <xf numFmtId="0" fontId="3" fillId="4" borderId="43" xfId="1" applyFont="1" applyFill="1" applyBorder="1" applyAlignment="1">
      <alignment vertical="center"/>
    </xf>
    <xf numFmtId="164" fontId="3" fillId="4" borderId="43" xfId="1" applyNumberFormat="1" applyFont="1" applyFill="1" applyBorder="1" applyAlignment="1">
      <alignment vertical="center"/>
    </xf>
    <xf numFmtId="166" fontId="3" fillId="2" borderId="43" xfId="1" applyNumberFormat="1" applyFont="1" applyFill="1" applyBorder="1" applyAlignment="1">
      <alignment vertical="center"/>
    </xf>
    <xf numFmtId="0" fontId="2" fillId="3" borderId="12" xfId="1" applyFill="1" applyBorder="1" applyAlignment="1" applyProtection="1">
      <alignment vertical="center"/>
      <protection locked="0"/>
    </xf>
    <xf numFmtId="0" fontId="2" fillId="3" borderId="8" xfId="1" applyFill="1" applyBorder="1" applyAlignment="1" applyProtection="1">
      <alignment vertical="center"/>
      <protection locked="0"/>
    </xf>
    <xf numFmtId="0" fontId="4" fillId="6" borderId="44" xfId="1" applyFont="1" applyFill="1" applyBorder="1" applyAlignment="1">
      <alignment horizontal="center"/>
    </xf>
    <xf numFmtId="0" fontId="0" fillId="0" borderId="25" xfId="0" applyBorder="1"/>
    <xf numFmtId="0" fontId="0" fillId="0" borderId="24" xfId="0" applyBorder="1"/>
    <xf numFmtId="0" fontId="9" fillId="9" borderId="45" xfId="0" applyFont="1" applyFill="1" applyBorder="1" applyAlignment="1">
      <alignment horizontal="center"/>
    </xf>
    <xf numFmtId="0" fontId="0" fillId="0" borderId="27" xfId="0" applyBorder="1"/>
    <xf numFmtId="0" fontId="0" fillId="0" borderId="26" xfId="0" applyBorder="1"/>
    <xf numFmtId="17" fontId="4" fillId="5" borderId="44" xfId="1" applyNumberFormat="1" applyFont="1" applyFill="1" applyBorder="1" applyAlignment="1">
      <alignment horizontal="center" vertical="center"/>
    </xf>
    <xf numFmtId="0" fontId="0" fillId="0" borderId="36" xfId="0" applyBorder="1"/>
    <xf numFmtId="0" fontId="4" fillId="5" borderId="46" xfId="1" applyFont="1" applyFill="1" applyBorder="1" applyAlignment="1">
      <alignment horizontal="center" vertical="center" wrapText="1"/>
    </xf>
    <xf numFmtId="0" fontId="0" fillId="0" borderId="35" xfId="0" applyBorder="1"/>
    <xf numFmtId="0" fontId="4" fillId="5" borderId="48" xfId="1" applyFont="1" applyFill="1" applyBorder="1" applyAlignment="1">
      <alignment horizontal="center" vertical="center"/>
    </xf>
    <xf numFmtId="0" fontId="0" fillId="0" borderId="38" xfId="0" applyBorder="1"/>
    <xf numFmtId="167" fontId="4" fillId="5" borderId="44" xfId="1" applyNumberFormat="1" applyFont="1" applyFill="1" applyBorder="1" applyAlignment="1">
      <alignment horizontal="center" vertical="center" wrapText="1"/>
    </xf>
    <xf numFmtId="0" fontId="4" fillId="5" borderId="47" xfId="1" applyFont="1" applyFill="1" applyBorder="1" applyAlignment="1">
      <alignment horizontal="center" vertical="center"/>
    </xf>
    <xf numFmtId="0" fontId="0" fillId="0" borderId="37" xfId="0" applyBorder="1"/>
    <xf numFmtId="0" fontId="4" fillId="5" borderId="47" xfId="1" applyFont="1" applyFill="1" applyBorder="1" applyAlignment="1">
      <alignment horizontal="center" vertical="center" wrapText="1"/>
    </xf>
    <xf numFmtId="165" fontId="4" fillId="5" borderId="44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3" xfId="1" xr:uid="{00000000-0005-0000-0000-000001000000}"/>
  </cellStyles>
  <dxfs count="76"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/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6" formatCode="0.00000"/>
      <fill>
        <patternFill patternType="solid">
          <fgColor indexed="64"/>
          <bgColor theme="9" tint="0.59999389629810485"/>
        </patternFill>
      </fill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 style="thin">
          <color indexed="64"/>
        </left>
        <right/>
        <top/>
        <bottom style="thin">
          <color indexed="64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5" formatCode="yyyy"/>
      <fill>
        <patternFill patternType="solid">
          <fgColor indexed="64"/>
          <bgColor indexed="47"/>
        </patternFill>
      </fill>
      <alignment horizontal="left" vertical="center"/>
      <border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medium">
          <color indexed="64"/>
        </left>
        <right style="medium">
          <color indexed="64"/>
        </right>
        <top style="dotted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general" vertical="center"/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/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6" formatCode="0.00000"/>
      <fill>
        <patternFill patternType="solid">
          <fgColor indexed="64"/>
          <bgColor theme="9" tint="0.59999389629810485"/>
        </patternFill>
      </fill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general" vertical="center"/>
      <border>
        <left style="thin">
          <color indexed="64"/>
        </left>
        <right style="medium">
          <color indexed="64"/>
        </right>
        <top/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5" formatCode="yyyy"/>
      <fill>
        <patternFill patternType="solid">
          <fgColor indexed="64"/>
          <bgColor indexed="47"/>
        </patternFill>
      </fill>
      <alignment horizontal="left" vertical="center"/>
      <border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fill>
        <patternFill patternType="solid">
          <fgColor indexed="64"/>
          <bgColor indexed="47"/>
        </patternFill>
      </fill>
      <alignment horizontal="general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medium">
          <color indexed="64"/>
        </left>
        <right style="medium">
          <color indexed="64"/>
        </right>
        <top style="dotted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alignment horizontal="general" vertical="center"/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  <family val="2"/>
      </font>
      <numFmt numFmtId="164" formatCode="0.000"/>
      <alignment horizontal="general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microsoft.com/office/2017/10/relationships/person" Target="persons/perso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Annual Report"/>
      <sheetName val="Summary_Yearly"/>
      <sheetName val="2022"/>
      <sheetName val="2023"/>
      <sheetName val="BC 2022"/>
      <sheetName val="BC 2023"/>
      <sheetName val="BC 2024"/>
      <sheetName val="2024"/>
      <sheetName val="Emission Reduction Analysis"/>
      <sheetName val="Remarks"/>
      <sheetName val="Data"/>
      <sheetName val="DashboardData"/>
      <sheetName val="Emission Factor"/>
      <sheetName val="Drop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14">
          <cell r="A114" t="str">
            <v>Scope 1</v>
          </cell>
          <cell r="B114" t="str">
            <v>Natural Gas</v>
          </cell>
          <cell r="C114">
            <v>5.0351584999999997E-2</v>
          </cell>
          <cell r="D114" t="str">
            <v>GJ</v>
          </cell>
        </row>
        <row r="115">
          <cell r="A115" t="str">
            <v>Scope 1</v>
          </cell>
          <cell r="B115" t="str">
            <v>Distillate Fuel Oil No. 2</v>
          </cell>
          <cell r="C115">
            <v>7.0332560000000002E-2</v>
          </cell>
          <cell r="D115" t="str">
            <v>GJ</v>
          </cell>
        </row>
        <row r="116">
          <cell r="A116" t="str">
            <v>Scope 1</v>
          </cell>
          <cell r="B116" t="str">
            <v>Residual Fuel Oil No. 6</v>
          </cell>
          <cell r="C116">
            <v>7.1432560000000006E-2</v>
          </cell>
          <cell r="D116" t="str">
            <v>GJ</v>
          </cell>
        </row>
        <row r="117">
          <cell r="A117" t="str">
            <v>Scope 1</v>
          </cell>
          <cell r="B117" t="str">
            <v>Liquefied Petroleum Gases (LPG)</v>
          </cell>
          <cell r="C117">
            <v>5.8732560000000003E-2</v>
          </cell>
          <cell r="D117" t="str">
            <v>GJ</v>
          </cell>
        </row>
        <row r="118">
          <cell r="A118" t="str">
            <v>Scope 1</v>
          </cell>
          <cell r="B118" t="str">
            <v>Anthracite Coal</v>
          </cell>
          <cell r="C118">
            <v>9.8996570000000006E-2</v>
          </cell>
          <cell r="D118" t="str">
            <v>GJ</v>
          </cell>
        </row>
        <row r="119">
          <cell r="A119" t="str">
            <v>Scope 1</v>
          </cell>
          <cell r="B119" t="str">
            <v>Bituminous Coal</v>
          </cell>
          <cell r="C119">
            <v>8.9196570000000003E-2</v>
          </cell>
          <cell r="D119" t="str">
            <v>GJ</v>
          </cell>
        </row>
        <row r="120">
          <cell r="A120" t="str">
            <v>Scope 1</v>
          </cell>
          <cell r="B120" t="str">
            <v>Coal Coke</v>
          </cell>
          <cell r="C120">
            <v>0.10849657000000001</v>
          </cell>
          <cell r="D120" t="str">
            <v>GJ</v>
          </cell>
        </row>
        <row r="121">
          <cell r="A121" t="str">
            <v>Scope 1</v>
          </cell>
          <cell r="B121" t="str">
            <v>Venting</v>
          </cell>
          <cell r="C121">
            <v>1.3110000000000002E-2</v>
          </cell>
          <cell r="D121" t="str">
            <v>m³</v>
          </cell>
        </row>
        <row r="122">
          <cell r="A122" t="str">
            <v>Scope 1</v>
          </cell>
          <cell r="B122" t="str">
            <v>Flaring</v>
          </cell>
          <cell r="C122">
            <v>1.8392249999999999E-3</v>
          </cell>
          <cell r="D122" t="str">
            <v>m³</v>
          </cell>
        </row>
        <row r="123">
          <cell r="A123" t="str">
            <v>Scope 1</v>
          </cell>
          <cell r="B123" t="str">
            <v>Fugitive Emission</v>
          </cell>
          <cell r="C123">
            <v>1.3110000000000002E-2</v>
          </cell>
          <cell r="D123" t="str">
            <v>m³</v>
          </cell>
        </row>
        <row r="124">
          <cell r="A124" t="str">
            <v>Scope 2</v>
          </cell>
          <cell r="B124" t="str">
            <v>HHP Steam</v>
          </cell>
          <cell r="C124">
            <v>8.4570000000000006E-2</v>
          </cell>
          <cell r="D124" t="str">
            <v>MMBTU</v>
          </cell>
        </row>
        <row r="125">
          <cell r="A125" t="str">
            <v>Scope 2</v>
          </cell>
          <cell r="B125" t="str">
            <v>HP Steam</v>
          </cell>
          <cell r="C125">
            <v>8.4570000000000006E-2</v>
          </cell>
          <cell r="D125" t="str">
            <v>MMBTU</v>
          </cell>
        </row>
        <row r="126">
          <cell r="A126" t="str">
            <v>Scope 2</v>
          </cell>
          <cell r="B126" t="str">
            <v>Peninsular Malaysia Tenaga Nasional Bhd</v>
          </cell>
          <cell r="C126">
            <v>0.77400000000000002</v>
          </cell>
          <cell r="D126" t="str">
            <v>kWh</v>
          </cell>
        </row>
        <row r="127">
          <cell r="A127" t="str">
            <v>Scope 2</v>
          </cell>
          <cell r="B127" t="str">
            <v>Sabah Electricity Sdn Bhd</v>
          </cell>
          <cell r="C127">
            <v>0.52500000000000002</v>
          </cell>
          <cell r="D127" t="str">
            <v>kWh</v>
          </cell>
        </row>
        <row r="128">
          <cell r="A128" t="str">
            <v>Scope 2</v>
          </cell>
          <cell r="B128" t="str">
            <v>Sarawak Energy Bhd</v>
          </cell>
          <cell r="C128">
            <v>0.19900000000000001</v>
          </cell>
          <cell r="D128" t="str">
            <v>kWh</v>
          </cell>
        </row>
        <row r="129">
          <cell r="A129" t="str">
            <v>Scope 2</v>
          </cell>
          <cell r="B129" t="str">
            <v>Kulim Hi Tech Park N.U.R Power</v>
          </cell>
          <cell r="C129">
            <v>0.54</v>
          </cell>
          <cell r="D129" t="str">
            <v>kWh</v>
          </cell>
        </row>
        <row r="130">
          <cell r="A130" t="str">
            <v>Scope 3</v>
          </cell>
          <cell r="B130" t="str">
            <v>Passenger Car</v>
          </cell>
          <cell r="C130">
            <v>1.444E-3</v>
          </cell>
          <cell r="D130" t="str">
            <v>km</v>
          </cell>
        </row>
        <row r="131">
          <cell r="A131" t="str">
            <v>Scope 3</v>
          </cell>
          <cell r="B131" t="str">
            <v>Light-Duty Truck</v>
          </cell>
          <cell r="C131">
            <v>2.0790000000000001E-3</v>
          </cell>
          <cell r="D131" t="str">
            <v>km</v>
          </cell>
        </row>
        <row r="132">
          <cell r="A132" t="str">
            <v>Scope 3</v>
          </cell>
          <cell r="B132" t="str">
            <v>Bus</v>
          </cell>
          <cell r="C132">
            <v>5.6450000000000001E-4</v>
          </cell>
          <cell r="D132" t="str">
            <v>km</v>
          </cell>
        </row>
        <row r="133">
          <cell r="A133" t="str">
            <v>Scope 3</v>
          </cell>
          <cell r="B133" t="str">
            <v>Motorcycle</v>
          </cell>
          <cell r="C133">
            <v>5.0490000000000005E-3</v>
          </cell>
          <cell r="D133" t="str">
            <v>km</v>
          </cell>
        </row>
        <row r="134">
          <cell r="A134" t="str">
            <v>Scope 3</v>
          </cell>
          <cell r="B134" t="str">
            <v>Intercity Rail</v>
          </cell>
          <cell r="C134">
            <v>6.6069999999999996E-4</v>
          </cell>
          <cell r="D134" t="str">
            <v>km</v>
          </cell>
        </row>
        <row r="135">
          <cell r="A135" t="str">
            <v>Scope 3</v>
          </cell>
          <cell r="B135" t="str">
            <v>Commuter Rail</v>
          </cell>
          <cell r="C135">
            <v>6.9530000000000004E-4</v>
          </cell>
          <cell r="D135" t="str">
            <v>km</v>
          </cell>
        </row>
        <row r="136">
          <cell r="A136" t="str">
            <v>Scope 3</v>
          </cell>
          <cell r="B136" t="str">
            <v>Transit Rail</v>
          </cell>
          <cell r="C136">
            <v>6.2169999999999999E-4</v>
          </cell>
          <cell r="D136" t="str">
            <v>km</v>
          </cell>
        </row>
        <row r="137">
          <cell r="A137" t="str">
            <v>Scope 3</v>
          </cell>
          <cell r="B137" t="str">
            <v>Air Short Haul (&lt; 482 km)</v>
          </cell>
          <cell r="C137">
            <v>9.1950000000000007E-4</v>
          </cell>
          <cell r="D137" t="str">
            <v>km</v>
          </cell>
        </row>
        <row r="138">
          <cell r="A138" t="str">
            <v>Scope 3</v>
          </cell>
          <cell r="B138" t="str">
            <v>Air Medium Haul (&gt;= 482 km, &lt; 3700 km)</v>
          </cell>
          <cell r="C138">
            <v>7.7330000000000009E-4</v>
          </cell>
          <cell r="D138" t="str">
            <v>km</v>
          </cell>
        </row>
        <row r="139">
          <cell r="A139" t="str">
            <v>Scope 3</v>
          </cell>
          <cell r="B139" t="str">
            <v>Air Long Haul (&gt;= 3700 km)</v>
          </cell>
          <cell r="C139">
            <v>9.8539999999999999E-4</v>
          </cell>
          <cell r="D139" t="str">
            <v>km</v>
          </cell>
        </row>
        <row r="140">
          <cell r="A140" t="str">
            <v>Scope 3</v>
          </cell>
          <cell r="B140" t="str">
            <v>Medium- and Heavy-Duty Truck</v>
          </cell>
          <cell r="C140">
            <v>7.614000000000001E-3</v>
          </cell>
          <cell r="D140" t="str">
            <v>km</v>
          </cell>
        </row>
        <row r="141">
          <cell r="A141" t="str">
            <v>Scope 3</v>
          </cell>
          <cell r="B141" t="str">
            <v>Light-Duty Truck</v>
          </cell>
          <cell r="C141">
            <v>2.0790000000000001E-3</v>
          </cell>
          <cell r="D141" t="str">
            <v>km</v>
          </cell>
        </row>
        <row r="142">
          <cell r="A142" t="str">
            <v>Scope 3</v>
          </cell>
          <cell r="B142" t="str">
            <v>Medium- and Heavy-Duty Truck</v>
          </cell>
          <cell r="C142">
            <v>9.2000000000000003E-4</v>
          </cell>
          <cell r="D142" t="str">
            <v>km</v>
          </cell>
        </row>
        <row r="143">
          <cell r="A143" t="str">
            <v>Scope 3</v>
          </cell>
          <cell r="B143" t="str">
            <v>Rail</v>
          </cell>
          <cell r="C143">
            <v>1.2559999999999999E-4</v>
          </cell>
          <cell r="D143" t="str">
            <v>km</v>
          </cell>
        </row>
        <row r="144">
          <cell r="A144" t="str">
            <v>Scope 3</v>
          </cell>
          <cell r="B144" t="str">
            <v>Aircraft</v>
          </cell>
          <cell r="C144">
            <v>9.5399999999999999E-4</v>
          </cell>
          <cell r="D144" t="str">
            <v>km</v>
          </cell>
        </row>
        <row r="145">
          <cell r="A145" t="str">
            <v>Scope 1</v>
          </cell>
          <cell r="B145" t="str">
            <v>Passenger Cars (Gasoline)</v>
          </cell>
          <cell r="C145">
            <v>2.3203212099999998E-3</v>
          </cell>
          <cell r="D145" t="str">
            <v>km</v>
          </cell>
        </row>
        <row r="146">
          <cell r="A146" t="str">
            <v>Scope 1</v>
          </cell>
          <cell r="B146" t="str">
            <v>Light-Duty Trucks (Gasoline)</v>
          </cell>
          <cell r="C146">
            <v>2.3203370500000002E-3</v>
          </cell>
          <cell r="D146" t="str">
            <v>km</v>
          </cell>
        </row>
        <row r="147">
          <cell r="A147" t="str">
            <v>Scope 1</v>
          </cell>
          <cell r="B147" t="str">
            <v>Heavy-Duty Vehicles (Gasoline)</v>
          </cell>
          <cell r="C147">
            <v>2.3222488000000001E-3</v>
          </cell>
          <cell r="D147" t="str">
            <v>km</v>
          </cell>
        </row>
        <row r="148">
          <cell r="A148" t="str">
            <v>Scope 1</v>
          </cell>
          <cell r="B148" t="str">
            <v>Motorcycles (Gasoline)</v>
          </cell>
          <cell r="C148">
            <v>2.3314954E-3</v>
          </cell>
          <cell r="D148" t="str">
            <v>km</v>
          </cell>
        </row>
        <row r="149">
          <cell r="A149" t="str">
            <v>Scope 1</v>
          </cell>
          <cell r="B149" t="str">
            <v>Passenger Cars (Diesel)</v>
          </cell>
          <cell r="C149">
            <v>2.7037563000000004E-3</v>
          </cell>
          <cell r="D149" t="str">
            <v>km</v>
          </cell>
        </row>
        <row r="150">
          <cell r="A150" t="str">
            <v>Scope 1</v>
          </cell>
          <cell r="B150" t="str">
            <v>Light-Duty Trucks (Diesel)</v>
          </cell>
          <cell r="C150">
            <v>2.7040623000000002E-3</v>
          </cell>
          <cell r="D150" t="str">
            <v>km</v>
          </cell>
        </row>
        <row r="151">
          <cell r="A151" t="str">
            <v>Scope 1</v>
          </cell>
          <cell r="B151" t="str">
            <v>Medium- and Heavy-Duty Vehicles (Diesel)</v>
          </cell>
          <cell r="C151">
            <v>2.7074757000000002E-3</v>
          </cell>
          <cell r="D151" t="str">
            <v>km</v>
          </cell>
        </row>
        <row r="152">
          <cell r="A152" t="str">
            <v>Scope 1</v>
          </cell>
          <cell r="B152" t="str">
            <v>Ships and Boats (Residual Fuel Oil)</v>
          </cell>
          <cell r="C152">
            <v>3.0096699999999999E-3</v>
          </cell>
          <cell r="D152" t="str">
            <v>km</v>
          </cell>
        </row>
        <row r="153">
          <cell r="A153" t="str">
            <v>Scope 1</v>
          </cell>
          <cell r="B153" t="str">
            <v>Ships and Boats (Diesel)</v>
          </cell>
          <cell r="C153">
            <v>2.7573600000000004E-3</v>
          </cell>
          <cell r="D153" t="str">
            <v>km</v>
          </cell>
        </row>
        <row r="154">
          <cell r="A154" t="str">
            <v>Scope 1</v>
          </cell>
          <cell r="B154" t="str">
            <v>Industrial/Commercial Equipment (Diesel)</v>
          </cell>
          <cell r="C154">
            <v>2.97282336</v>
          </cell>
          <cell r="D154" t="str">
            <v>km</v>
          </cell>
        </row>
        <row r="155">
          <cell r="A155" t="str">
            <v>Scope 1</v>
          </cell>
          <cell r="B155" t="str">
            <v>Industrial/Commercial Equipment (LPG)</v>
          </cell>
          <cell r="C155">
            <v>3.2457264099999996</v>
          </cell>
          <cell r="D155" t="str">
            <v>km</v>
          </cell>
        </row>
      </sheetData>
      <sheetData sheetId="14">
        <row r="2">
          <cell r="A2" t="str">
            <v>Plant-A</v>
          </cell>
          <cell r="L2" t="str">
            <v>Scope 1</v>
          </cell>
        </row>
        <row r="3">
          <cell r="A3" t="str">
            <v>Plant-B</v>
          </cell>
          <cell r="L3" t="str">
            <v>Scope 2</v>
          </cell>
        </row>
        <row r="4">
          <cell r="A4" t="str">
            <v>Plant-C</v>
          </cell>
          <cell r="L4" t="str">
            <v>Scope 3</v>
          </cell>
        </row>
        <row r="5">
          <cell r="A5" t="str">
            <v>Plant-D</v>
          </cell>
        </row>
        <row r="6">
          <cell r="A6" t="str">
            <v>Plant-E</v>
          </cell>
        </row>
        <row r="13">
          <cell r="A13">
            <v>44562</v>
          </cell>
        </row>
        <row r="14">
          <cell r="A14">
            <v>44927</v>
          </cell>
        </row>
        <row r="15">
          <cell r="A15">
            <v>45292</v>
          </cell>
        </row>
        <row r="16">
          <cell r="A16">
            <v>45658</v>
          </cell>
        </row>
        <row r="17">
          <cell r="A17">
            <v>46023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roduction"/>
      <sheetName val="Boundary Questions"/>
      <sheetName val="Summary"/>
      <sheetName val="Stationary Combustion"/>
      <sheetName val="Mobile Sources"/>
      <sheetName val="Refrigeration and AC"/>
      <sheetName val="Fire Suppression"/>
      <sheetName val="Purchased Gases"/>
      <sheetName val="Electricity"/>
      <sheetName val="Steam"/>
      <sheetName val="Business Travel"/>
      <sheetName val="Commuting"/>
      <sheetName val="Upstream Trans and Dist"/>
      <sheetName val="Waste"/>
      <sheetName val="Offsets"/>
      <sheetName val="Unit Conversions"/>
      <sheetName val="Heat Content"/>
      <sheetName val="Emission Factors"/>
      <sheetName val="DropDown"/>
      <sheetName val="Help - Data Management"/>
      <sheetName val="Help - Stationary Combustion"/>
      <sheetName val="Help - Mobile Sources"/>
      <sheetName val="Help - Refrigeration and AC"/>
      <sheetName val="Help - Fire Suppression"/>
      <sheetName val="Help - Purchased Gases"/>
      <sheetName val="Help - Electricity"/>
      <sheetName val="Help - Market-Based Method"/>
      <sheetName val="Help - Steam"/>
      <sheetName val="Help - Business Travel"/>
      <sheetName val="Help - Commuting"/>
      <sheetName val="Help - Upstream Trans and Dist"/>
      <sheetName val="Help - Waste"/>
      <sheetName val="Help - Offsets"/>
    </sheetNames>
    <sheetDataSet>
      <sheetData sheetId="0"/>
      <sheetData sheetId="1"/>
      <sheetData sheetId="2"/>
      <sheetData sheetId="3"/>
      <sheetData sheetId="4"/>
      <sheetData sheetId="5"/>
      <sheetData sheetId="6">
        <row r="108">
          <cell r="B108">
            <v>3.5000000000000003E-2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9">
          <cell r="C9">
            <v>0.4536</v>
          </cell>
        </row>
      </sheetData>
      <sheetData sheetId="16">
        <row r="14">
          <cell r="A14" t="str">
            <v>Anthracite Coal</v>
          </cell>
        </row>
      </sheetData>
      <sheetData sheetId="17">
        <row r="12">
          <cell r="A12" t="str">
            <v>Natural Gas</v>
          </cell>
          <cell r="B12">
            <v>53.06</v>
          </cell>
          <cell r="C12">
            <v>1</v>
          </cell>
          <cell r="D12">
            <v>0.1</v>
          </cell>
          <cell r="E12">
            <v>5.4440000000000002E-2</v>
          </cell>
          <cell r="F12">
            <v>1.0300000000000001E-3</v>
          </cell>
          <cell r="G12">
            <v>1E-4</v>
          </cell>
        </row>
        <row r="13">
          <cell r="A13" t="str">
            <v>Distillate Fuel Oil No. 2</v>
          </cell>
          <cell r="B13">
            <v>73.959999999999994</v>
          </cell>
          <cell r="C13">
            <v>3</v>
          </cell>
          <cell r="D13">
            <v>0.6</v>
          </cell>
          <cell r="E13">
            <v>10.210000000000001</v>
          </cell>
          <cell r="F13">
            <v>0.41</v>
          </cell>
          <cell r="G13">
            <v>0.08</v>
          </cell>
        </row>
        <row r="14">
          <cell r="A14" t="str">
            <v>Residual Fuel Oil No. 6</v>
          </cell>
          <cell r="B14">
            <v>75.099999999999994</v>
          </cell>
          <cell r="C14">
            <v>3</v>
          </cell>
          <cell r="D14">
            <v>0.6</v>
          </cell>
          <cell r="E14">
            <v>11.27</v>
          </cell>
          <cell r="F14">
            <v>0.45</v>
          </cell>
          <cell r="G14">
            <v>0.09</v>
          </cell>
        </row>
        <row r="15">
          <cell r="A15" t="str">
            <v>Kerosene</v>
          </cell>
          <cell r="B15">
            <v>75.2</v>
          </cell>
          <cell r="C15">
            <v>3</v>
          </cell>
          <cell r="D15">
            <v>0.6</v>
          </cell>
          <cell r="E15">
            <v>10.15</v>
          </cell>
          <cell r="F15">
            <v>0.41</v>
          </cell>
          <cell r="G15">
            <v>0.08</v>
          </cell>
        </row>
        <row r="16">
          <cell r="A16" t="str">
            <v>Liquefied Petroleum Gases (LPG)</v>
          </cell>
          <cell r="B16">
            <v>61.71</v>
          </cell>
          <cell r="C16">
            <v>3</v>
          </cell>
          <cell r="D16">
            <v>0.6</v>
          </cell>
          <cell r="E16">
            <v>5.68</v>
          </cell>
          <cell r="F16">
            <v>0.28000000000000003</v>
          </cell>
          <cell r="G16">
            <v>0.06</v>
          </cell>
        </row>
        <row r="17">
          <cell r="A17" t="str">
            <v>Anthracite Coal</v>
          </cell>
          <cell r="B17">
            <v>103.69</v>
          </cell>
          <cell r="C17">
            <v>11</v>
          </cell>
          <cell r="D17">
            <v>1.6</v>
          </cell>
          <cell r="E17">
            <v>2602</v>
          </cell>
          <cell r="F17">
            <v>276</v>
          </cell>
          <cell r="G17">
            <v>40</v>
          </cell>
        </row>
        <row r="18">
          <cell r="A18" t="str">
            <v>Bituminous Coal</v>
          </cell>
          <cell r="B18">
            <v>93.28</v>
          </cell>
          <cell r="C18">
            <v>11</v>
          </cell>
          <cell r="D18">
            <v>1.6</v>
          </cell>
          <cell r="E18">
            <v>2325</v>
          </cell>
          <cell r="F18">
            <v>274</v>
          </cell>
          <cell r="G18">
            <v>40</v>
          </cell>
        </row>
        <row r="19">
          <cell r="A19" t="str">
            <v>Sub-bituminous Coal</v>
          </cell>
          <cell r="B19">
            <v>97.17</v>
          </cell>
          <cell r="C19">
            <v>11</v>
          </cell>
          <cell r="D19">
            <v>1.6</v>
          </cell>
          <cell r="E19">
            <v>1676</v>
          </cell>
          <cell r="F19">
            <v>190</v>
          </cell>
          <cell r="G19">
            <v>28</v>
          </cell>
        </row>
        <row r="20">
          <cell r="A20" t="str">
            <v>Lignite Coal</v>
          </cell>
          <cell r="B20">
            <v>97.72</v>
          </cell>
          <cell r="C20">
            <v>11</v>
          </cell>
          <cell r="D20">
            <v>1.6</v>
          </cell>
          <cell r="E20">
            <v>1389</v>
          </cell>
          <cell r="F20">
            <v>156</v>
          </cell>
          <cell r="G20">
            <v>23</v>
          </cell>
        </row>
        <row r="21">
          <cell r="A21" t="str">
            <v>Mixed (Commercial Sector)</v>
          </cell>
          <cell r="B21">
            <v>94.27</v>
          </cell>
          <cell r="C21">
            <v>11</v>
          </cell>
          <cell r="D21">
            <v>1.6</v>
          </cell>
          <cell r="E21">
            <v>2016</v>
          </cell>
          <cell r="F21">
            <v>235</v>
          </cell>
          <cell r="G21">
            <v>34</v>
          </cell>
        </row>
        <row r="22">
          <cell r="A22" t="str">
            <v>Mixed (Electric Power Sector)</v>
          </cell>
          <cell r="B22">
            <v>95.52</v>
          </cell>
          <cell r="C22">
            <v>11</v>
          </cell>
          <cell r="D22">
            <v>1.6</v>
          </cell>
          <cell r="E22">
            <v>1885</v>
          </cell>
          <cell r="F22">
            <v>217</v>
          </cell>
          <cell r="G22">
            <v>32</v>
          </cell>
        </row>
        <row r="23">
          <cell r="A23" t="str">
            <v>Mixed (Industrial Coking)</v>
          </cell>
          <cell r="B23">
            <v>93.9</v>
          </cell>
          <cell r="C23">
            <v>11</v>
          </cell>
          <cell r="D23">
            <v>1.6</v>
          </cell>
          <cell r="E23">
            <v>2468</v>
          </cell>
          <cell r="F23">
            <v>289</v>
          </cell>
          <cell r="G23">
            <v>42</v>
          </cell>
        </row>
        <row r="24">
          <cell r="A24" t="str">
            <v>Mixed (Industrial Sector)</v>
          </cell>
          <cell r="B24">
            <v>94.67</v>
          </cell>
          <cell r="C24">
            <v>11</v>
          </cell>
          <cell r="D24">
            <v>1.6</v>
          </cell>
          <cell r="E24">
            <v>2116</v>
          </cell>
          <cell r="F24">
            <v>246</v>
          </cell>
          <cell r="G24">
            <v>36</v>
          </cell>
        </row>
        <row r="25">
          <cell r="A25" t="str">
            <v>Coal Coke</v>
          </cell>
          <cell r="B25">
            <v>113.67</v>
          </cell>
          <cell r="C25">
            <v>11</v>
          </cell>
          <cell r="D25">
            <v>1.6</v>
          </cell>
          <cell r="E25">
            <v>2819</v>
          </cell>
          <cell r="F25">
            <v>273</v>
          </cell>
          <cell r="G25">
            <v>40</v>
          </cell>
        </row>
        <row r="26">
          <cell r="A26" t="str">
            <v>Municipal Solid Waste</v>
          </cell>
          <cell r="B26">
            <v>90.7</v>
          </cell>
          <cell r="C26">
            <v>32</v>
          </cell>
          <cell r="D26">
            <v>4.2</v>
          </cell>
          <cell r="E26">
            <v>902</v>
          </cell>
          <cell r="F26">
            <v>318</v>
          </cell>
          <cell r="G26">
            <v>42</v>
          </cell>
        </row>
        <row r="27">
          <cell r="A27" t="str">
            <v>Petroleum Coke (Solid)</v>
          </cell>
          <cell r="B27">
            <v>102.41</v>
          </cell>
          <cell r="C27">
            <v>32</v>
          </cell>
          <cell r="D27">
            <v>4.2</v>
          </cell>
          <cell r="E27">
            <v>3072</v>
          </cell>
          <cell r="F27">
            <v>960</v>
          </cell>
          <cell r="G27">
            <v>126</v>
          </cell>
        </row>
        <row r="28">
          <cell r="A28" t="str">
            <v>Plastics</v>
          </cell>
          <cell r="B28">
            <v>75</v>
          </cell>
          <cell r="C28">
            <v>32</v>
          </cell>
          <cell r="D28">
            <v>4.2</v>
          </cell>
          <cell r="E28">
            <v>2850</v>
          </cell>
          <cell r="F28">
            <v>1216</v>
          </cell>
          <cell r="G28">
            <v>160</v>
          </cell>
        </row>
        <row r="29">
          <cell r="A29" t="str">
            <v>Tires</v>
          </cell>
          <cell r="B29">
            <v>85.97</v>
          </cell>
          <cell r="C29">
            <v>32</v>
          </cell>
          <cell r="D29">
            <v>4.2</v>
          </cell>
          <cell r="E29">
            <v>2407</v>
          </cell>
          <cell r="F29">
            <v>896</v>
          </cell>
          <cell r="G29">
            <v>118</v>
          </cell>
        </row>
        <row r="30">
          <cell r="A30" t="str">
            <v>Agricultural Byproducts</v>
          </cell>
          <cell r="B30">
            <v>118.17</v>
          </cell>
          <cell r="C30">
            <v>32</v>
          </cell>
          <cell r="D30">
            <v>4.2</v>
          </cell>
          <cell r="E30">
            <v>975</v>
          </cell>
          <cell r="F30">
            <v>264</v>
          </cell>
          <cell r="G30">
            <v>35</v>
          </cell>
        </row>
        <row r="31">
          <cell r="A31" t="str">
            <v>Peat</v>
          </cell>
          <cell r="B31">
            <v>111.84</v>
          </cell>
          <cell r="C31">
            <v>32</v>
          </cell>
          <cell r="D31">
            <v>4.2</v>
          </cell>
          <cell r="E31">
            <v>895</v>
          </cell>
          <cell r="F31">
            <v>256</v>
          </cell>
          <cell r="G31">
            <v>34</v>
          </cell>
        </row>
        <row r="32">
          <cell r="A32" t="str">
            <v>Solid Byproducts</v>
          </cell>
          <cell r="B32">
            <v>105.51</v>
          </cell>
          <cell r="C32">
            <v>32</v>
          </cell>
          <cell r="D32">
            <v>4.2</v>
          </cell>
          <cell r="E32">
            <v>1096</v>
          </cell>
          <cell r="F32">
            <v>332</v>
          </cell>
          <cell r="G32">
            <v>44</v>
          </cell>
        </row>
        <row r="33">
          <cell r="A33" t="str">
            <v>Wood and Wood Residuals</v>
          </cell>
          <cell r="B33">
            <v>0</v>
          </cell>
          <cell r="C33">
            <v>7.2</v>
          </cell>
          <cell r="D33">
            <v>3.6</v>
          </cell>
          <cell r="E33">
            <v>1640</v>
          </cell>
          <cell r="F33">
            <v>126</v>
          </cell>
          <cell r="G33">
            <v>63</v>
          </cell>
        </row>
        <row r="34">
          <cell r="A34" t="str">
            <v>Propane Gas</v>
          </cell>
          <cell r="B34">
            <v>61.46</v>
          </cell>
          <cell r="C34">
            <v>3</v>
          </cell>
          <cell r="D34">
            <v>0.6</v>
          </cell>
          <cell r="E34">
            <v>0.15462999999999999</v>
          </cell>
          <cell r="F34">
            <v>7.548E-3</v>
          </cell>
          <cell r="G34">
            <v>1.5100000000000001E-3</v>
          </cell>
        </row>
        <row r="35">
          <cell r="A35" t="str">
            <v>Landfill Gas</v>
          </cell>
          <cell r="B35">
            <v>0</v>
          </cell>
          <cell r="C35">
            <v>3.2</v>
          </cell>
          <cell r="D35">
            <v>0.63</v>
          </cell>
          <cell r="E35">
            <v>2.5253999999999999E-2</v>
          </cell>
          <cell r="F35">
            <v>1.5520000000000002E-3</v>
          </cell>
          <cell r="G35">
            <v>3.0600000000000001E-4</v>
          </cell>
        </row>
        <row r="36">
          <cell r="A36" t="str">
            <v>Biodiesel (100%)</v>
          </cell>
          <cell r="B36">
            <v>73.84</v>
          </cell>
          <cell r="C36">
            <v>1.1000000000000001</v>
          </cell>
          <cell r="D36">
            <v>0.11</v>
          </cell>
          <cell r="E36">
            <v>9.4499999999999993</v>
          </cell>
          <cell r="F36">
            <v>0.14000000000000001</v>
          </cell>
          <cell r="G36">
            <v>0.01</v>
          </cell>
        </row>
        <row r="37">
          <cell r="A37" t="str">
            <v>Ethanol (100%)</v>
          </cell>
          <cell r="B37">
            <v>68.44</v>
          </cell>
          <cell r="C37">
            <v>1.1000000000000001</v>
          </cell>
          <cell r="D37">
            <v>0.11</v>
          </cell>
          <cell r="E37">
            <v>5.75</v>
          </cell>
          <cell r="F37">
            <v>0.09</v>
          </cell>
          <cell r="G37">
            <v>0.01</v>
          </cell>
        </row>
        <row r="38">
          <cell r="A38" t="str">
            <v>Rendered Animal Fat</v>
          </cell>
          <cell r="B38">
            <v>71.06</v>
          </cell>
          <cell r="C38">
            <v>1.1000000000000001</v>
          </cell>
          <cell r="D38">
            <v>0.11</v>
          </cell>
          <cell r="E38">
            <v>8.8800000000000008</v>
          </cell>
          <cell r="F38">
            <v>0.14000000000000001</v>
          </cell>
          <cell r="G38">
            <v>0.01</v>
          </cell>
        </row>
        <row r="39">
          <cell r="A39" t="str">
            <v>Vegetable Oil</v>
          </cell>
          <cell r="B39">
            <v>81.55</v>
          </cell>
          <cell r="C39">
            <v>1.1000000000000001</v>
          </cell>
          <cell r="D39">
            <v>0.11</v>
          </cell>
          <cell r="E39">
            <v>9.7899999999999991</v>
          </cell>
          <cell r="F39">
            <v>0.13</v>
          </cell>
          <cell r="G39">
            <v>0.01</v>
          </cell>
        </row>
        <row r="46">
          <cell r="B46">
            <v>9.4499999999999993</v>
          </cell>
        </row>
        <row r="49">
          <cell r="B49">
            <v>5.75</v>
          </cell>
        </row>
        <row r="58">
          <cell r="B58" t="str">
            <v>1984-93</v>
          </cell>
          <cell r="C58">
            <v>7.0400000000000004E-2</v>
          </cell>
          <cell r="D58">
            <v>6.4699999999999994E-2</v>
          </cell>
        </row>
        <row r="59">
          <cell r="B59">
            <v>1994</v>
          </cell>
          <cell r="C59">
            <v>6.174000000000001E-2</v>
          </cell>
          <cell r="D59">
            <v>6.0340000000000005E-2</v>
          </cell>
        </row>
        <row r="60">
          <cell r="B60">
            <v>1995</v>
          </cell>
          <cell r="C60">
            <v>5.3080000000000002E-2</v>
          </cell>
          <cell r="D60">
            <v>5.5979999999999995E-2</v>
          </cell>
        </row>
        <row r="61">
          <cell r="B61">
            <v>1996</v>
          </cell>
          <cell r="C61">
            <v>4.3394000000000009E-2</v>
          </cell>
          <cell r="D61">
            <v>5.0276000000000008E-2</v>
          </cell>
        </row>
        <row r="62">
          <cell r="B62">
            <v>1997</v>
          </cell>
          <cell r="C62">
            <v>3.3708000000000002E-2</v>
          </cell>
          <cell r="D62">
            <v>4.4572000000000001E-2</v>
          </cell>
        </row>
        <row r="63">
          <cell r="B63">
            <v>1998</v>
          </cell>
          <cell r="C63">
            <v>2.4021999999999998E-2</v>
          </cell>
          <cell r="D63">
            <v>3.8868E-2</v>
          </cell>
        </row>
        <row r="64">
          <cell r="B64">
            <v>1999</v>
          </cell>
          <cell r="C64">
            <v>2.1457E-2</v>
          </cell>
          <cell r="D64">
            <v>3.5507999999999998E-2</v>
          </cell>
        </row>
        <row r="65">
          <cell r="B65">
            <v>2000</v>
          </cell>
          <cell r="C65">
            <v>1.7523999999999998E-2</v>
          </cell>
          <cell r="D65">
            <v>3.0356000000000001E-2</v>
          </cell>
        </row>
        <row r="66">
          <cell r="B66">
            <v>2001</v>
          </cell>
          <cell r="C66">
            <v>1.0513E-2</v>
          </cell>
          <cell r="D66">
            <v>2.1172E-2</v>
          </cell>
        </row>
        <row r="67">
          <cell r="B67">
            <v>2002</v>
          </cell>
          <cell r="C67">
            <v>1.0171000000000001E-2</v>
          </cell>
          <cell r="D67">
            <v>2.0723999999999999E-2</v>
          </cell>
        </row>
        <row r="68">
          <cell r="B68">
            <v>2003</v>
          </cell>
          <cell r="C68">
            <v>9.5040000000000003E-3</v>
          </cell>
          <cell r="D68">
            <v>1.8086999999999999E-2</v>
          </cell>
        </row>
        <row r="69">
          <cell r="B69">
            <v>2004</v>
          </cell>
          <cell r="C69">
            <v>7.8399999999999997E-3</v>
          </cell>
          <cell r="D69">
            <v>8.487999999999999E-3</v>
          </cell>
        </row>
        <row r="70">
          <cell r="B70">
            <v>2005</v>
          </cell>
          <cell r="C70">
            <v>7.5100000000000002E-3</v>
          </cell>
          <cell r="D70">
            <v>6.7060000000000002E-3</v>
          </cell>
        </row>
        <row r="71">
          <cell r="B71">
            <v>2006</v>
          </cell>
          <cell r="C71">
            <v>7.6340000000000002E-3</v>
          </cell>
          <cell r="D71">
            <v>7.4509999999999993E-3</v>
          </cell>
        </row>
        <row r="72">
          <cell r="B72">
            <v>2007</v>
          </cell>
          <cell r="C72">
            <v>7.2259999999999998E-3</v>
          </cell>
          <cell r="D72">
            <v>5.2129999999999998E-3</v>
          </cell>
        </row>
        <row r="73">
          <cell r="B73">
            <v>2008</v>
          </cell>
          <cell r="C73">
            <v>7.1719999999999996E-3</v>
          </cell>
          <cell r="D73">
            <v>4.9040000000000004E-3</v>
          </cell>
        </row>
        <row r="74">
          <cell r="B74">
            <v>2009</v>
          </cell>
          <cell r="C74">
            <v>7.1139999999999988E-3</v>
          </cell>
          <cell r="D74">
            <v>4.5849999999999997E-3</v>
          </cell>
        </row>
        <row r="75">
          <cell r="B75">
            <v>2010</v>
          </cell>
          <cell r="C75">
            <v>7.1120000000000003E-3</v>
          </cell>
          <cell r="D75">
            <v>4.5799999999999999E-3</v>
          </cell>
        </row>
        <row r="76">
          <cell r="B76">
            <v>2011</v>
          </cell>
          <cell r="C76">
            <v>7.1159999999999999E-3</v>
          </cell>
          <cell r="D76">
            <v>4.5899999999999995E-3</v>
          </cell>
        </row>
        <row r="77">
          <cell r="B77">
            <v>2012</v>
          </cell>
          <cell r="C77">
            <v>7.1179999999999993E-3</v>
          </cell>
          <cell r="D77">
            <v>4.5949999999999993E-3</v>
          </cell>
        </row>
        <row r="78">
          <cell r="B78">
            <v>2013</v>
          </cell>
          <cell r="C78">
            <v>7.1200000000000005E-3</v>
          </cell>
          <cell r="D78">
            <v>4.5999999999999999E-3</v>
          </cell>
        </row>
        <row r="79">
          <cell r="B79">
            <v>2014</v>
          </cell>
          <cell r="C79">
            <v>7.0989999999999994E-3</v>
          </cell>
          <cell r="D79">
            <v>4.5789999999999997E-3</v>
          </cell>
        </row>
        <row r="80">
          <cell r="B80">
            <v>2015</v>
          </cell>
          <cell r="C80">
            <v>6.8370000000000002E-3</v>
          </cell>
          <cell r="D80">
            <v>4.2389999999999997E-3</v>
          </cell>
        </row>
        <row r="81">
          <cell r="B81">
            <v>2016</v>
          </cell>
          <cell r="C81">
            <v>6.4899999999999992E-3</v>
          </cell>
          <cell r="D81">
            <v>3.7809999999999996E-3</v>
          </cell>
        </row>
        <row r="82">
          <cell r="B82">
            <v>2017</v>
          </cell>
          <cell r="C82">
            <v>5.365E-3</v>
          </cell>
          <cell r="D82">
            <v>1.7900000000000004E-3</v>
          </cell>
        </row>
        <row r="83">
          <cell r="B83">
            <v>2018</v>
          </cell>
          <cell r="C83">
            <v>5.2399999999999999E-3</v>
          </cell>
          <cell r="D83">
            <v>1.585E-3</v>
          </cell>
        </row>
        <row r="84">
          <cell r="B84">
            <v>2019</v>
          </cell>
          <cell r="C84">
            <v>5.1050000000000002E-3</v>
          </cell>
          <cell r="D84">
            <v>1.4519999999999999E-3</v>
          </cell>
        </row>
        <row r="85">
          <cell r="B85">
            <v>2020</v>
          </cell>
          <cell r="C85">
            <v>4.9999999999999992E-3</v>
          </cell>
          <cell r="D85">
            <v>1.3500000000000001E-3</v>
          </cell>
        </row>
        <row r="86">
          <cell r="B86">
            <v>2021</v>
          </cell>
          <cell r="C86">
            <v>5.0499999999999989E-3</v>
          </cell>
          <cell r="D86">
            <v>1.4120000000000001E-3</v>
          </cell>
        </row>
        <row r="87">
          <cell r="B87">
            <v>2022</v>
          </cell>
          <cell r="C87">
            <v>5.0499999999999989E-3</v>
          </cell>
          <cell r="D87">
            <v>1.4120000000000001E-3</v>
          </cell>
        </row>
        <row r="88">
          <cell r="B88">
            <v>2023</v>
          </cell>
          <cell r="C88">
            <v>5.0499999999999989E-3</v>
          </cell>
          <cell r="D88">
            <v>1.4120000000000001E-3</v>
          </cell>
        </row>
        <row r="89">
          <cell r="B89">
            <v>2024</v>
          </cell>
          <cell r="C89">
            <v>5.0499999999999989E-3</v>
          </cell>
          <cell r="D89">
            <v>1.4120000000000001E-3</v>
          </cell>
        </row>
        <row r="90">
          <cell r="B90" t="str">
            <v>1987-93</v>
          </cell>
          <cell r="C90">
            <v>8.1299999999999997E-2</v>
          </cell>
          <cell r="D90">
            <v>0.103515</v>
          </cell>
        </row>
        <row r="91">
          <cell r="B91">
            <v>1994</v>
          </cell>
          <cell r="C91">
            <v>6.4640000000000003E-2</v>
          </cell>
          <cell r="D91">
            <v>9.820000000000001E-2</v>
          </cell>
        </row>
        <row r="92">
          <cell r="B92">
            <v>1995</v>
          </cell>
          <cell r="C92">
            <v>5.1679999999999997E-2</v>
          </cell>
          <cell r="D92">
            <v>9.0800000000000006E-2</v>
          </cell>
        </row>
        <row r="93">
          <cell r="B93">
            <v>1996</v>
          </cell>
          <cell r="C93">
            <v>4.5199999999999997E-2</v>
          </cell>
          <cell r="D93">
            <v>8.7099999999999997E-2</v>
          </cell>
        </row>
        <row r="94">
          <cell r="B94">
            <v>1997</v>
          </cell>
          <cell r="C94">
            <v>4.5199999999999997E-2</v>
          </cell>
          <cell r="D94">
            <v>8.7099999999999997E-2</v>
          </cell>
        </row>
        <row r="95">
          <cell r="B95">
            <v>1998</v>
          </cell>
          <cell r="C95">
            <v>4.1248E-2</v>
          </cell>
          <cell r="D95">
            <v>7.8675999999999996E-2</v>
          </cell>
        </row>
        <row r="96">
          <cell r="B96">
            <v>1999</v>
          </cell>
          <cell r="C96">
            <v>3.3343999999999999E-2</v>
          </cell>
          <cell r="D96">
            <v>6.1827999999999994E-2</v>
          </cell>
        </row>
        <row r="97">
          <cell r="B97">
            <v>2000</v>
          </cell>
          <cell r="C97">
            <v>3.3951999999999996E-2</v>
          </cell>
          <cell r="D97">
            <v>6.3124E-2</v>
          </cell>
        </row>
        <row r="98">
          <cell r="B98">
            <v>2001</v>
          </cell>
          <cell r="C98">
            <v>2.2095999999999998E-2</v>
          </cell>
          <cell r="D98">
            <v>3.7851999999999997E-2</v>
          </cell>
        </row>
        <row r="99">
          <cell r="B99">
            <v>2002</v>
          </cell>
          <cell r="C99">
            <v>2.4223999999999996E-2</v>
          </cell>
          <cell r="D99">
            <v>4.2387999999999995E-2</v>
          </cell>
        </row>
        <row r="100">
          <cell r="B100">
            <v>2003</v>
          </cell>
          <cell r="C100">
            <v>2.2111999999999996E-2</v>
          </cell>
          <cell r="D100">
            <v>3.7311999999999998E-2</v>
          </cell>
        </row>
        <row r="101">
          <cell r="B101">
            <v>2004</v>
          </cell>
          <cell r="C101">
            <v>1.1472E-2</v>
          </cell>
          <cell r="D101">
            <v>8.7500000000000008E-3</v>
          </cell>
        </row>
        <row r="102">
          <cell r="B102">
            <v>2005</v>
          </cell>
          <cell r="C102">
            <v>1.0544000000000001E-2</v>
          </cell>
          <cell r="D102">
            <v>6.4100000000000008E-3</v>
          </cell>
        </row>
        <row r="103">
          <cell r="B103">
            <v>2006</v>
          </cell>
          <cell r="C103">
            <v>1.0800000000000001E-2</v>
          </cell>
          <cell r="D103">
            <v>7.9559999999999995E-3</v>
          </cell>
        </row>
        <row r="104">
          <cell r="B104">
            <v>2007</v>
          </cell>
          <cell r="C104">
            <v>1.0272E-2</v>
          </cell>
          <cell r="D104">
            <v>6.072000000000001E-3</v>
          </cell>
        </row>
        <row r="105">
          <cell r="B105">
            <v>2008</v>
          </cell>
          <cell r="C105">
            <v>9.4560000000000009E-3</v>
          </cell>
          <cell r="D105">
            <v>3.5880000000000005E-3</v>
          </cell>
        </row>
        <row r="106">
          <cell r="B106">
            <v>2009</v>
          </cell>
          <cell r="C106">
            <v>9.4560000000000009E-3</v>
          </cell>
          <cell r="D106">
            <v>3.5880000000000005E-3</v>
          </cell>
        </row>
        <row r="107">
          <cell r="B107">
            <v>2010</v>
          </cell>
          <cell r="C107">
            <v>9.5199999999999989E-3</v>
          </cell>
          <cell r="D107">
            <v>3.4599999999999995E-3</v>
          </cell>
        </row>
        <row r="108">
          <cell r="B108">
            <v>2011</v>
          </cell>
          <cell r="C108">
            <v>9.5680000000000001E-3</v>
          </cell>
          <cell r="D108">
            <v>3.3640000000000002E-3</v>
          </cell>
        </row>
        <row r="109">
          <cell r="B109">
            <v>2012</v>
          </cell>
          <cell r="C109">
            <v>9.6159999999999995E-3</v>
          </cell>
          <cell r="D109">
            <v>3.2680000000000001E-3</v>
          </cell>
        </row>
        <row r="110">
          <cell r="B110">
            <v>2013</v>
          </cell>
          <cell r="C110">
            <v>9.5040000000000003E-3</v>
          </cell>
          <cell r="D110">
            <v>3.4920000000000003E-3</v>
          </cell>
        </row>
        <row r="111">
          <cell r="B111">
            <v>2014</v>
          </cell>
          <cell r="C111">
            <v>9.5490000000000002E-3</v>
          </cell>
          <cell r="D111">
            <v>3.3189999999999999E-3</v>
          </cell>
        </row>
        <row r="112">
          <cell r="B112">
            <v>2015</v>
          </cell>
          <cell r="C112">
            <v>9.4380000000000002E-3</v>
          </cell>
          <cell r="D112">
            <v>3.1260000000000003E-3</v>
          </cell>
        </row>
        <row r="113">
          <cell r="B113">
            <v>2016</v>
          </cell>
          <cell r="C113">
            <v>9.1039999999999992E-3</v>
          </cell>
          <cell r="D113">
            <v>2.9060000000000002E-3</v>
          </cell>
        </row>
        <row r="114">
          <cell r="B114">
            <v>2017</v>
          </cell>
          <cell r="C114">
            <v>8.3920000000000002E-3</v>
          </cell>
          <cell r="D114">
            <v>1.7749999999999999E-3</v>
          </cell>
        </row>
        <row r="115">
          <cell r="B115">
            <v>2018</v>
          </cell>
          <cell r="C115">
            <v>8.1180000000000002E-3</v>
          </cell>
          <cell r="D115">
            <v>1.5150000000000001E-3</v>
          </cell>
        </row>
        <row r="116">
          <cell r="B116">
            <v>2019</v>
          </cell>
          <cell r="C116">
            <v>7.9880000000000003E-3</v>
          </cell>
          <cell r="D116">
            <v>1.3349999999999998E-3</v>
          </cell>
        </row>
        <row r="117">
          <cell r="B117">
            <v>2020</v>
          </cell>
          <cell r="C117">
            <v>7.8499999999999993E-3</v>
          </cell>
          <cell r="D117">
            <v>1.1999999999999999E-3</v>
          </cell>
        </row>
        <row r="118">
          <cell r="B118">
            <v>2021</v>
          </cell>
          <cell r="C118">
            <v>7.8499999999999993E-3</v>
          </cell>
          <cell r="D118">
            <v>1.1999999999999999E-3</v>
          </cell>
        </row>
        <row r="119">
          <cell r="B119">
            <v>2022</v>
          </cell>
          <cell r="C119">
            <v>7.8499999999999993E-3</v>
          </cell>
          <cell r="D119">
            <v>1.1999999999999999E-3</v>
          </cell>
        </row>
        <row r="120">
          <cell r="B120">
            <v>2023</v>
          </cell>
          <cell r="C120">
            <v>7.8499999999999993E-3</v>
          </cell>
          <cell r="D120">
            <v>1.1999999999999999E-3</v>
          </cell>
        </row>
        <row r="121">
          <cell r="B121">
            <v>2024</v>
          </cell>
          <cell r="C121">
            <v>7.8499999999999993E-3</v>
          </cell>
          <cell r="D121">
            <v>1.1999999999999999E-3</v>
          </cell>
        </row>
        <row r="122">
          <cell r="B122" t="str">
            <v>1985-86</v>
          </cell>
          <cell r="C122">
            <v>0.40897500000000003</v>
          </cell>
          <cell r="D122">
            <v>5.1520000000000003E-2</v>
          </cell>
        </row>
        <row r="123">
          <cell r="B123">
            <v>1987</v>
          </cell>
          <cell r="C123">
            <v>0.36745999999999995</v>
          </cell>
          <cell r="D123">
            <v>8.4889999999999993E-2</v>
          </cell>
        </row>
        <row r="124">
          <cell r="B124" t="str">
            <v>1988-1989</v>
          </cell>
          <cell r="C124">
            <v>0.34921000000000002</v>
          </cell>
          <cell r="D124">
            <v>9.3329999999999996E-2</v>
          </cell>
        </row>
        <row r="125">
          <cell r="B125" t="str">
            <v>1990-1995</v>
          </cell>
          <cell r="C125">
            <v>0.32457499999999995</v>
          </cell>
          <cell r="D125">
            <v>0.11416999999999999</v>
          </cell>
        </row>
        <row r="126">
          <cell r="B126">
            <v>1996</v>
          </cell>
          <cell r="C126">
            <v>0.127775</v>
          </cell>
          <cell r="D126">
            <v>0.16802499999999998</v>
          </cell>
        </row>
        <row r="127">
          <cell r="B127">
            <v>1997</v>
          </cell>
          <cell r="C127">
            <v>9.2385000000000009E-2</v>
          </cell>
          <cell r="D127">
            <v>0.172595</v>
          </cell>
        </row>
        <row r="128">
          <cell r="B128">
            <v>1998</v>
          </cell>
          <cell r="C128">
            <v>6.5500000000000003E-2</v>
          </cell>
          <cell r="D128">
            <v>0.17499999999999999</v>
          </cell>
        </row>
        <row r="129">
          <cell r="B129">
            <v>1999</v>
          </cell>
          <cell r="C129">
            <v>6.479E-2</v>
          </cell>
          <cell r="D129">
            <v>0.17243199999999997</v>
          </cell>
        </row>
        <row r="130">
          <cell r="B130">
            <v>2000</v>
          </cell>
          <cell r="C130">
            <v>6.3015000000000002E-2</v>
          </cell>
          <cell r="D130">
            <v>0.16601199999999999</v>
          </cell>
        </row>
        <row r="131">
          <cell r="B131">
            <v>2001</v>
          </cell>
          <cell r="C131">
            <v>5.7690000000000005E-2</v>
          </cell>
          <cell r="D131">
            <v>0.14675199999999999</v>
          </cell>
        </row>
        <row r="132">
          <cell r="B132">
            <v>2002</v>
          </cell>
          <cell r="C132">
            <v>6.3369999999999996E-2</v>
          </cell>
          <cell r="D132">
            <v>0.16729599999999997</v>
          </cell>
        </row>
        <row r="133">
          <cell r="B133">
            <v>2003</v>
          </cell>
          <cell r="C133">
            <v>6.0172000000000003E-2</v>
          </cell>
          <cell r="D133">
            <v>0.15528899999999998</v>
          </cell>
        </row>
        <row r="134">
          <cell r="B134">
            <v>2004</v>
          </cell>
          <cell r="C134">
            <v>2.9798999999999999E-2</v>
          </cell>
          <cell r="D134">
            <v>1.6383000000000002E-2</v>
          </cell>
        </row>
        <row r="135">
          <cell r="B135">
            <v>2005</v>
          </cell>
          <cell r="C135">
            <v>2.9745000000000001E-2</v>
          </cell>
          <cell r="D135">
            <v>8.2650000000000015E-3</v>
          </cell>
        </row>
        <row r="136">
          <cell r="B136">
            <v>2006</v>
          </cell>
          <cell r="C136">
            <v>2.9850000000000002E-2</v>
          </cell>
          <cell r="D136">
            <v>2.4050000000000002E-2</v>
          </cell>
        </row>
        <row r="137">
          <cell r="B137">
            <v>2007</v>
          </cell>
          <cell r="C137">
            <v>3.2238000000000003E-2</v>
          </cell>
          <cell r="D137">
            <v>1.5E-3</v>
          </cell>
        </row>
        <row r="138">
          <cell r="B138">
            <v>2008</v>
          </cell>
          <cell r="C138">
            <v>3.4023999999999999E-2</v>
          </cell>
          <cell r="D138">
            <v>1.5E-3</v>
          </cell>
        </row>
        <row r="139">
          <cell r="B139">
            <v>2009</v>
          </cell>
          <cell r="C139">
            <v>3.3930000000000002E-2</v>
          </cell>
          <cell r="D139">
            <v>1.5E-3</v>
          </cell>
        </row>
        <row r="140">
          <cell r="B140">
            <v>2010</v>
          </cell>
          <cell r="C140">
            <v>3.1955999999999998E-2</v>
          </cell>
          <cell r="D140">
            <v>1.5E-3</v>
          </cell>
        </row>
        <row r="141">
          <cell r="B141">
            <v>2011</v>
          </cell>
          <cell r="C141">
            <v>3.0358000000000003E-2</v>
          </cell>
          <cell r="D141">
            <v>1.5000000000000002E-3</v>
          </cell>
        </row>
        <row r="142">
          <cell r="B142">
            <v>2012</v>
          </cell>
          <cell r="C142">
            <v>3.1297999999999999E-2</v>
          </cell>
          <cell r="D142">
            <v>1.5E-3</v>
          </cell>
        </row>
        <row r="143">
          <cell r="B143">
            <v>2013</v>
          </cell>
          <cell r="C143">
            <v>3.1297999999999999E-2</v>
          </cell>
          <cell r="D143">
            <v>1.5E-3</v>
          </cell>
        </row>
        <row r="144">
          <cell r="B144">
            <v>2014</v>
          </cell>
          <cell r="C144">
            <v>3.1486E-2</v>
          </cell>
          <cell r="D144">
            <v>1.5E-3</v>
          </cell>
        </row>
        <row r="145">
          <cell r="B145">
            <v>2015</v>
          </cell>
          <cell r="C145">
            <v>3.3184000000000005E-2</v>
          </cell>
          <cell r="D145">
            <v>2.1050000000000001E-3</v>
          </cell>
        </row>
        <row r="146">
          <cell r="B146">
            <v>2016</v>
          </cell>
          <cell r="C146">
            <v>3.2073000000000004E-2</v>
          </cell>
          <cell r="D146">
            <v>6.1379999999999994E-3</v>
          </cell>
        </row>
        <row r="147">
          <cell r="B147">
            <v>2017</v>
          </cell>
          <cell r="C147">
            <v>3.2872999999999999E-2</v>
          </cell>
          <cell r="D147">
            <v>8.3789999999999993E-3</v>
          </cell>
        </row>
        <row r="148">
          <cell r="B148">
            <v>2018</v>
          </cell>
          <cell r="C148">
            <v>3.2572000000000004E-2</v>
          </cell>
          <cell r="D148">
            <v>8.2309999999999987E-3</v>
          </cell>
        </row>
        <row r="149">
          <cell r="B149">
            <v>2019</v>
          </cell>
          <cell r="C149">
            <v>3.295E-2</v>
          </cell>
          <cell r="D149">
            <v>9.0800000000000013E-3</v>
          </cell>
        </row>
        <row r="150">
          <cell r="B150">
            <v>2020</v>
          </cell>
          <cell r="C150">
            <v>3.3149999999999999E-2</v>
          </cell>
          <cell r="D150">
            <v>9.9500000000000005E-3</v>
          </cell>
        </row>
        <row r="151">
          <cell r="B151">
            <v>2021</v>
          </cell>
          <cell r="C151">
            <v>3.3149999999999999E-2</v>
          </cell>
          <cell r="D151">
            <v>9.9500000000000005E-3</v>
          </cell>
        </row>
        <row r="152">
          <cell r="B152">
            <v>2022</v>
          </cell>
          <cell r="C152">
            <v>3.3149999999999999E-2</v>
          </cell>
          <cell r="D152">
            <v>9.9500000000000005E-3</v>
          </cell>
        </row>
        <row r="153">
          <cell r="B153">
            <v>2023</v>
          </cell>
          <cell r="C153">
            <v>3.3149999999999999E-2</v>
          </cell>
          <cell r="D153">
            <v>9.9500000000000005E-3</v>
          </cell>
        </row>
        <row r="154">
          <cell r="B154">
            <v>2024</v>
          </cell>
          <cell r="C154">
            <v>3.3149999999999999E-2</v>
          </cell>
          <cell r="D154">
            <v>9.9500000000000005E-3</v>
          </cell>
        </row>
        <row r="155">
          <cell r="B155" t="str">
            <v>1960-1995</v>
          </cell>
          <cell r="C155">
            <v>7.0000000000000001E-3</v>
          </cell>
          <cell r="D155">
            <v>8.3000000000000001E-3</v>
          </cell>
        </row>
        <row r="156">
          <cell r="B156" t="str">
            <v>1996-2005</v>
          </cell>
          <cell r="C156">
            <v>0</v>
          </cell>
          <cell r="D156">
            <v>0</v>
          </cell>
        </row>
        <row r="157">
          <cell r="B157" t="str">
            <v>2006-2024</v>
          </cell>
          <cell r="C157">
            <v>7.0000000000000001E-3</v>
          </cell>
          <cell r="D157">
            <v>8.3000000000000001E-3</v>
          </cell>
        </row>
        <row r="162">
          <cell r="C162" t="str">
            <v>1960-1982</v>
          </cell>
          <cell r="D162">
            <v>5.9999999999999995E-4</v>
          </cell>
          <cell r="E162">
            <v>1.1999999999999999E-3</v>
          </cell>
        </row>
        <row r="163">
          <cell r="C163" t="str">
            <v>1983-2006</v>
          </cell>
          <cell r="D163">
            <v>5.0000000000000001E-4</v>
          </cell>
          <cell r="E163">
            <v>1E-3</v>
          </cell>
        </row>
        <row r="164">
          <cell r="C164" t="str">
            <v>2007-2024</v>
          </cell>
          <cell r="D164">
            <v>3.0200000000000001E-2</v>
          </cell>
          <cell r="E164">
            <v>1.9199999999999998E-2</v>
          </cell>
        </row>
        <row r="165">
          <cell r="C165" t="str">
            <v>1960-1982</v>
          </cell>
          <cell r="D165">
            <v>1.1000000000000001E-3</v>
          </cell>
          <cell r="E165">
            <v>1.6999999999999999E-3</v>
          </cell>
        </row>
        <row r="166">
          <cell r="C166" t="str">
            <v>1983-2006</v>
          </cell>
          <cell r="D166">
            <v>8.9999999999999998E-4</v>
          </cell>
          <cell r="E166">
            <v>1.4E-3</v>
          </cell>
        </row>
        <row r="167">
          <cell r="C167" t="str">
            <v>2007-2024</v>
          </cell>
          <cell r="D167">
            <v>2.9000000000000001E-2</v>
          </cell>
          <cell r="E167">
            <v>2.1399999999999999E-2</v>
          </cell>
        </row>
        <row r="168">
          <cell r="C168" t="str">
            <v>1960-2006</v>
          </cell>
          <cell r="D168">
            <v>5.1000000000000004E-3</v>
          </cell>
          <cell r="E168">
            <v>4.7999999999999996E-3</v>
          </cell>
        </row>
        <row r="169">
          <cell r="C169" t="str">
            <v>2007-2024</v>
          </cell>
          <cell r="D169">
            <v>9.4999999999999998E-3</v>
          </cell>
          <cell r="E169">
            <v>4.3099999999999999E-2</v>
          </cell>
        </row>
        <row r="372">
          <cell r="C372">
            <v>28</v>
          </cell>
        </row>
        <row r="373">
          <cell r="C373">
            <v>265</v>
          </cell>
        </row>
      </sheetData>
      <sheetData sheetId="18">
        <row r="2">
          <cell r="A2" t="str">
            <v>Stationary Combustion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herent CO2"/>
      <sheetName val="MBLEQ"/>
      <sheetName val="MBSOC"/>
      <sheetName val="iHSE"/>
      <sheetName val="Summary Emission"/>
      <sheetName val="Import_Fuel"/>
      <sheetName val="Import_Volume"/>
      <sheetName val="Export_Production"/>
      <sheetName val="Compo"/>
      <sheetName val="Load"/>
      <sheetName val="Export_Emission"/>
      <sheetName val="Monthly Emission"/>
      <sheetName val="Gas Combustion"/>
      <sheetName val="Flaring"/>
      <sheetName val="Mobile &amp; Transportation"/>
      <sheetName val="Imported Electricity"/>
      <sheetName val="Venting"/>
      <sheetName val="Liquid Combustion"/>
      <sheetName val="Fugitive"/>
      <sheetName val="PFD Compo"/>
      <sheetName val="Refrigerant"/>
      <sheetName val="AGRU"/>
      <sheetName val="COGEN Export"/>
      <sheetName val="Imported Steam"/>
    </sheetNames>
    <sheetDataSet>
      <sheetData sheetId="0" refreshError="1"/>
      <sheetData sheetId="1" refreshError="1"/>
      <sheetData sheetId="2" refreshError="1"/>
      <sheetData sheetId="3" refreshError="1"/>
      <sheetData sheetId="4">
        <row r="3">
          <cell r="G3" t="str">
            <v>Olefins</v>
          </cell>
        </row>
      </sheetData>
      <sheetData sheetId="5">
        <row r="5">
          <cell r="AF5" t="str">
            <v>FLARE_MAIN FLARE</v>
          </cell>
          <cell r="AG5" t="str">
            <v>FURNACE FUEL</v>
          </cell>
          <cell r="AH5" t="str">
            <v>SALES GAS FUEL</v>
          </cell>
          <cell r="AI5" t="str">
            <v>PILOT BURNER_FURNACE</v>
          </cell>
          <cell r="AJ5" t="str">
            <v>FLARE_ACID GAS (CO2 STRIPPER)</v>
          </cell>
          <cell r="AK5" t="str">
            <v>FLARE_TANK FLARE</v>
          </cell>
          <cell r="AL5" t="str">
            <v>FLARE_ACID GAS(CAUSTIC SCRUBBER)</v>
          </cell>
        </row>
        <row r="6">
          <cell r="P6"/>
          <cell r="AE6" t="str">
            <v>C Wt Fraction</v>
          </cell>
          <cell r="AF6">
            <v>0</v>
          </cell>
          <cell r="AG6">
            <v>0</v>
          </cell>
          <cell r="AH6">
            <v>0.72469863818899272</v>
          </cell>
          <cell r="AI6">
            <v>0</v>
          </cell>
          <cell r="AJ6">
            <v>0.27420180848781944</v>
          </cell>
          <cell r="AK6">
            <v>0</v>
          </cell>
          <cell r="AL6">
            <v>0</v>
          </cell>
        </row>
        <row r="7">
          <cell r="P7"/>
          <cell r="AE7" t="str">
            <v>MW (kg/kmol)</v>
          </cell>
          <cell r="AF7">
            <v>0</v>
          </cell>
          <cell r="AG7">
            <v>0</v>
          </cell>
          <cell r="AH7">
            <v>17.444780971457085</v>
          </cell>
          <cell r="AI7">
            <v>0</v>
          </cell>
          <cell r="AJ7">
            <v>42.334415896880003</v>
          </cell>
          <cell r="AK7">
            <v>0</v>
          </cell>
          <cell r="AL7">
            <v>0</v>
          </cell>
        </row>
        <row r="8">
          <cell r="P8"/>
          <cell r="AE8" t="str">
            <v>Sulfur Content (ppm)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1691</v>
          </cell>
          <cell r="AK8">
            <v>0</v>
          </cell>
          <cell r="AL8">
            <v>0</v>
          </cell>
        </row>
        <row r="9">
          <cell r="P9"/>
          <cell r="AE9" t="str">
            <v>GHV (kJ/kg)</v>
          </cell>
          <cell r="AF9" t="e">
            <v>#DIV/0!</v>
          </cell>
          <cell r="AG9" t="e">
            <v>#DIV/0!</v>
          </cell>
          <cell r="AH9">
            <v>51839.933196901053</v>
          </cell>
          <cell r="AI9" t="e">
            <v>#DIV/0!</v>
          </cell>
          <cell r="AJ9">
            <v>791.70084550956437</v>
          </cell>
          <cell r="AK9" t="e">
            <v>#DIV/0!</v>
          </cell>
          <cell r="AL9" t="e">
            <v>#DIV/0!</v>
          </cell>
        </row>
        <row r="10">
          <cell r="P10"/>
          <cell r="AE10" t="str">
            <v>LHV (kJ/kg)</v>
          </cell>
          <cell r="AF10" t="e">
            <v>#DIV/0!</v>
          </cell>
          <cell r="AG10" t="e">
            <v>#DIV/0!</v>
          </cell>
          <cell r="AH10">
            <v>46834.092503962893</v>
          </cell>
          <cell r="AI10" t="e">
            <v>#DIV/0!</v>
          </cell>
          <cell r="AJ10">
            <v>725.02323865207893</v>
          </cell>
          <cell r="AK10" t="e">
            <v>#DIV/0!</v>
          </cell>
          <cell r="AL10" t="e">
            <v>#DIV/0!</v>
          </cell>
        </row>
        <row r="11">
          <cell r="P11"/>
          <cell r="AE11" t="str">
            <v>GHV (MMBTU/kg)</v>
          </cell>
          <cell r="AF11" t="e">
            <v>#DIV/0!</v>
          </cell>
          <cell r="AG11" t="e">
            <v>#DIV/0!</v>
          </cell>
          <cell r="AH11">
            <v>4.9134776321936947E-2</v>
          </cell>
          <cell r="AI11" t="e">
            <v>#DIV/0!</v>
          </cell>
          <cell r="AJ11">
            <v>7.5038761740391687E-4</v>
          </cell>
          <cell r="AK11" t="e">
            <v>#DIV/0!</v>
          </cell>
          <cell r="AL11" t="e">
            <v>#DIV/0!</v>
          </cell>
        </row>
        <row r="12">
          <cell r="P12"/>
          <cell r="AE12" t="str">
            <v>LHV (MMBTU/kg)</v>
          </cell>
          <cell r="AF12" t="e">
            <v>#DIV/0!</v>
          </cell>
          <cell r="AG12" t="e">
            <v>#DIV/0!</v>
          </cell>
          <cell r="AH12">
            <v>4.4390154799826845E-2</v>
          </cell>
          <cell r="AI12" t="e">
            <v>#DIV/0!</v>
          </cell>
          <cell r="AJ12">
            <v>6.8718943992593276E-4</v>
          </cell>
          <cell r="AK12" t="e">
            <v>#DIV/0!</v>
          </cell>
          <cell r="AL12" t="e">
            <v>#DIV/0!</v>
          </cell>
        </row>
        <row r="13">
          <cell r="P13"/>
          <cell r="AE13" t="str">
            <v>C Molar Number</v>
          </cell>
          <cell r="AF13">
            <v>0</v>
          </cell>
          <cell r="AG13">
            <v>0</v>
          </cell>
          <cell r="AH13">
            <v>1.0347521281922885</v>
          </cell>
          <cell r="AI13">
            <v>0</v>
          </cell>
          <cell r="AJ13">
            <v>4.1815999999999999E-2</v>
          </cell>
          <cell r="AK13">
            <v>0</v>
          </cell>
          <cell r="AL13">
            <v>0</v>
          </cell>
        </row>
        <row r="14">
          <cell r="P14"/>
          <cell r="AE14" t="str">
            <v>HC Molar Fraction</v>
          </cell>
          <cell r="AF14">
            <v>0</v>
          </cell>
          <cell r="AG14">
            <v>0</v>
          </cell>
          <cell r="AH14">
            <v>0.97396094141211809</v>
          </cell>
          <cell r="AI14">
            <v>0</v>
          </cell>
          <cell r="AJ14">
            <v>2.0666E-2</v>
          </cell>
          <cell r="AK14">
            <v>0</v>
          </cell>
          <cell r="AL14">
            <v>0</v>
          </cell>
        </row>
        <row r="15">
          <cell r="P15"/>
        </row>
        <row r="16">
          <cell r="P16"/>
        </row>
        <row r="17">
          <cell r="P17"/>
        </row>
        <row r="18">
          <cell r="P18"/>
        </row>
        <row r="19">
          <cell r="P19"/>
        </row>
        <row r="20">
          <cell r="P20"/>
        </row>
        <row r="21">
          <cell r="P21"/>
        </row>
        <row r="22">
          <cell r="P22"/>
        </row>
        <row r="23">
          <cell r="P23"/>
        </row>
        <row r="24">
          <cell r="P24"/>
        </row>
        <row r="25">
          <cell r="P25"/>
        </row>
        <row r="26">
          <cell r="P26"/>
        </row>
        <row r="27">
          <cell r="P27"/>
        </row>
        <row r="28">
          <cell r="P28"/>
        </row>
        <row r="29">
          <cell r="P29"/>
        </row>
        <row r="30">
          <cell r="P30"/>
        </row>
        <row r="31">
          <cell r="P31"/>
        </row>
        <row r="32">
          <cell r="P32"/>
        </row>
        <row r="33">
          <cell r="P33"/>
        </row>
        <row r="34">
          <cell r="P34"/>
        </row>
        <row r="35">
          <cell r="P35"/>
        </row>
        <row r="36">
          <cell r="P36"/>
        </row>
        <row r="37">
          <cell r="P37"/>
        </row>
        <row r="38">
          <cell r="P38"/>
        </row>
        <row r="39">
          <cell r="P39"/>
        </row>
        <row r="40">
          <cell r="P40"/>
        </row>
        <row r="41">
          <cell r="P41"/>
        </row>
        <row r="42">
          <cell r="P42"/>
        </row>
        <row r="43">
          <cell r="P43"/>
        </row>
        <row r="44">
          <cell r="P44"/>
        </row>
        <row r="45">
          <cell r="P45"/>
        </row>
        <row r="46">
          <cell r="P46"/>
        </row>
        <row r="47">
          <cell r="P47"/>
        </row>
        <row r="48">
          <cell r="P48"/>
        </row>
        <row r="49">
          <cell r="P49"/>
        </row>
        <row r="50">
          <cell r="P50">
            <v>0.85845964194923419</v>
          </cell>
        </row>
        <row r="51">
          <cell r="P51">
            <v>0</v>
          </cell>
        </row>
        <row r="52">
          <cell r="P52">
            <v>3.7686348152457541E-2</v>
          </cell>
        </row>
        <row r="53">
          <cell r="P53">
            <v>0</v>
          </cell>
        </row>
        <row r="54">
          <cell r="P54">
            <v>0</v>
          </cell>
        </row>
        <row r="55">
          <cell r="P55">
            <v>0</v>
          </cell>
        </row>
        <row r="56">
          <cell r="P56">
            <v>3.6200777699084301E-2</v>
          </cell>
        </row>
        <row r="57">
          <cell r="P57">
            <v>0</v>
          </cell>
        </row>
        <row r="58">
          <cell r="P58">
            <v>0</v>
          </cell>
        </row>
        <row r="59">
          <cell r="P59">
            <v>3.3367867654313701E-4</v>
          </cell>
        </row>
        <row r="60">
          <cell r="P60">
            <v>0</v>
          </cell>
        </row>
        <row r="61">
          <cell r="P61">
            <v>4.4973102279815422E-2</v>
          </cell>
        </row>
        <row r="62">
          <cell r="P62">
            <v>0</v>
          </cell>
        </row>
        <row r="63">
          <cell r="P63">
            <v>6.6735735308627404E-3</v>
          </cell>
        </row>
        <row r="64">
          <cell r="P64">
            <v>4.1420506148428648E-4</v>
          </cell>
        </row>
        <row r="65">
          <cell r="P65">
            <v>2.0710253074214323E-3</v>
          </cell>
        </row>
        <row r="66">
          <cell r="P66">
            <v>0</v>
          </cell>
        </row>
        <row r="67">
          <cell r="P67">
            <v>0</v>
          </cell>
        </row>
        <row r="68">
          <cell r="P68">
            <v>0</v>
          </cell>
        </row>
        <row r="69">
          <cell r="P69">
            <v>0</v>
          </cell>
        </row>
        <row r="70">
          <cell r="P70">
            <v>0</v>
          </cell>
        </row>
        <row r="71">
          <cell r="P71">
            <v>1.3187647343096919E-2</v>
          </cell>
        </row>
        <row r="72">
          <cell r="P72"/>
        </row>
        <row r="73">
          <cell r="P73"/>
        </row>
        <row r="74">
          <cell r="P74"/>
        </row>
        <row r="75">
          <cell r="P75"/>
        </row>
        <row r="76">
          <cell r="P76"/>
        </row>
        <row r="77">
          <cell r="P77"/>
        </row>
        <row r="78">
          <cell r="P78"/>
        </row>
        <row r="79">
          <cell r="P79"/>
        </row>
        <row r="80">
          <cell r="P80"/>
        </row>
        <row r="81">
          <cell r="P81"/>
        </row>
        <row r="82">
          <cell r="P82"/>
        </row>
        <row r="83">
          <cell r="P83"/>
        </row>
        <row r="84">
          <cell r="P84"/>
        </row>
        <row r="85">
          <cell r="P85"/>
        </row>
        <row r="86">
          <cell r="P86"/>
        </row>
        <row r="87">
          <cell r="P87"/>
        </row>
        <row r="88">
          <cell r="P88"/>
        </row>
        <row r="89">
          <cell r="P89"/>
        </row>
        <row r="90">
          <cell r="P90"/>
        </row>
        <row r="91">
          <cell r="P91"/>
        </row>
        <row r="92">
          <cell r="P92"/>
        </row>
        <row r="93">
          <cell r="P93"/>
        </row>
        <row r="94">
          <cell r="P94">
            <v>1.3717847280911603E-4</v>
          </cell>
        </row>
        <row r="95">
          <cell r="P95">
            <v>0</v>
          </cell>
        </row>
        <row r="96">
          <cell r="P96">
            <v>0</v>
          </cell>
        </row>
        <row r="97">
          <cell r="P97">
            <v>1.3820513828398419E-2</v>
          </cell>
        </row>
        <row r="98">
          <cell r="P98">
            <v>0</v>
          </cell>
        </row>
        <row r="99">
          <cell r="P99">
            <v>0</v>
          </cell>
        </row>
        <row r="100">
          <cell r="P100">
            <v>8.8119544653382682E-4</v>
          </cell>
        </row>
        <row r="101">
          <cell r="P101">
            <v>0</v>
          </cell>
        </row>
        <row r="102">
          <cell r="P102">
            <v>0</v>
          </cell>
        </row>
        <row r="103">
          <cell r="P103">
            <v>0</v>
          </cell>
        </row>
        <row r="104">
          <cell r="P104">
            <v>0</v>
          </cell>
        </row>
        <row r="105">
          <cell r="P105">
            <v>0.96125725377019133</v>
          </cell>
        </row>
        <row r="106">
          <cell r="P106">
            <v>0</v>
          </cell>
        </row>
        <row r="107">
          <cell r="P107">
            <v>0</v>
          </cell>
        </row>
        <row r="108">
          <cell r="P108">
            <v>0</v>
          </cell>
        </row>
        <row r="109">
          <cell r="P109">
            <v>0</v>
          </cell>
        </row>
        <row r="110">
          <cell r="P110">
            <v>0</v>
          </cell>
        </row>
        <row r="111">
          <cell r="P111">
            <v>0</v>
          </cell>
        </row>
        <row r="112">
          <cell r="P112">
            <v>2.2542496624131585E-2</v>
          </cell>
        </row>
        <row r="113">
          <cell r="P113">
            <v>0</v>
          </cell>
        </row>
        <row r="114">
          <cell r="P114">
            <v>1.361361857935715E-3</v>
          </cell>
        </row>
        <row r="115">
          <cell r="P115">
            <v>0</v>
          </cell>
        </row>
        <row r="116">
          <cell r="P116"/>
        </row>
        <row r="117">
          <cell r="P117"/>
        </row>
        <row r="118">
          <cell r="P118"/>
        </row>
        <row r="119">
          <cell r="P119"/>
        </row>
        <row r="120">
          <cell r="P120"/>
        </row>
        <row r="121">
          <cell r="P121"/>
        </row>
        <row r="122">
          <cell r="P122"/>
        </row>
        <row r="123">
          <cell r="P123"/>
        </row>
        <row r="124">
          <cell r="P124"/>
        </row>
        <row r="125">
          <cell r="P125"/>
        </row>
        <row r="126">
          <cell r="P126"/>
        </row>
        <row r="127">
          <cell r="P127"/>
        </row>
        <row r="128">
          <cell r="P128"/>
        </row>
        <row r="129">
          <cell r="P129"/>
        </row>
        <row r="130">
          <cell r="P130"/>
        </row>
        <row r="131">
          <cell r="P131"/>
        </row>
        <row r="132">
          <cell r="P132"/>
        </row>
        <row r="133">
          <cell r="P133"/>
        </row>
        <row r="134">
          <cell r="P134"/>
        </row>
        <row r="135">
          <cell r="P135"/>
        </row>
        <row r="136">
          <cell r="P136"/>
        </row>
        <row r="137">
          <cell r="P137"/>
        </row>
        <row r="138">
          <cell r="P138"/>
        </row>
        <row r="139">
          <cell r="P139"/>
        </row>
        <row r="140">
          <cell r="P140"/>
        </row>
        <row r="141">
          <cell r="P141"/>
        </row>
        <row r="142">
          <cell r="P142"/>
        </row>
        <row r="143">
          <cell r="P143"/>
        </row>
        <row r="144">
          <cell r="P144"/>
        </row>
        <row r="145">
          <cell r="P145"/>
        </row>
        <row r="146">
          <cell r="P146"/>
        </row>
        <row r="147">
          <cell r="P147"/>
        </row>
        <row r="148">
          <cell r="P148"/>
        </row>
        <row r="149">
          <cell r="P149"/>
        </row>
        <row r="150">
          <cell r="P150"/>
        </row>
        <row r="151">
          <cell r="P151"/>
        </row>
        <row r="152">
          <cell r="P152"/>
        </row>
        <row r="153">
          <cell r="P153"/>
        </row>
        <row r="154">
          <cell r="P154"/>
        </row>
        <row r="155">
          <cell r="P155"/>
        </row>
        <row r="156">
          <cell r="P156"/>
        </row>
        <row r="157">
          <cell r="P157"/>
        </row>
        <row r="158">
          <cell r="P158"/>
        </row>
        <row r="159">
          <cell r="P159"/>
        </row>
      </sheetData>
      <sheetData sheetId="6">
        <row r="4">
          <cell r="F4" t="e">
            <v>#DIV/0!</v>
          </cell>
        </row>
      </sheetData>
      <sheetData sheetId="7" refreshError="1"/>
      <sheetData sheetId="8">
        <row r="73">
          <cell r="D73" t="str">
            <v>Compo!C76:U76</v>
          </cell>
          <cell r="F73" t="str">
            <v>Compo!A77:A98</v>
          </cell>
        </row>
        <row r="136">
          <cell r="A136" t="str">
            <v>METHANE</v>
          </cell>
        </row>
        <row r="137">
          <cell r="A137" t="str">
            <v>ACETYLENE</v>
          </cell>
        </row>
        <row r="138">
          <cell r="A138" t="str">
            <v>ETHYLENE</v>
          </cell>
        </row>
        <row r="139">
          <cell r="A139" t="str">
            <v>ETHANE</v>
          </cell>
        </row>
        <row r="140">
          <cell r="A140" t="str">
            <v>METHYLACETYLENE</v>
          </cell>
        </row>
        <row r="141">
          <cell r="A141" t="str">
            <v>PROPYLENE</v>
          </cell>
        </row>
        <row r="142">
          <cell r="A142" t="str">
            <v>PROPANE</v>
          </cell>
        </row>
        <row r="143">
          <cell r="A143" t="str">
            <v>CARBON MONOXIDE</v>
          </cell>
        </row>
        <row r="144">
          <cell r="A144" t="str">
            <v>HYDROGEN</v>
          </cell>
        </row>
        <row r="145">
          <cell r="A145" t="str">
            <v>n-BUTANE</v>
          </cell>
        </row>
        <row r="146">
          <cell r="A146" t="str">
            <v>C3+</v>
          </cell>
        </row>
        <row r="147">
          <cell r="A147" t="str">
            <v>CARBON DIOXIDE</v>
          </cell>
        </row>
        <row r="148">
          <cell r="A148" t="str">
            <v>SULFUR</v>
          </cell>
        </row>
        <row r="149">
          <cell r="A149" t="str">
            <v>ISOBUTANE</v>
          </cell>
        </row>
        <row r="150">
          <cell r="A150" t="str">
            <v>N-PENTANE</v>
          </cell>
        </row>
        <row r="151">
          <cell r="A151" t="str">
            <v>ISOPENTANE</v>
          </cell>
        </row>
        <row r="152">
          <cell r="A152" t="str">
            <v>n-HEXANE</v>
          </cell>
        </row>
        <row r="153">
          <cell r="A153" t="str">
            <v>BENZENE</v>
          </cell>
        </row>
        <row r="154">
          <cell r="A154" t="str">
            <v>Water</v>
          </cell>
        </row>
        <row r="155">
          <cell r="A155" t="str">
            <v>OXYGEN</v>
          </cell>
        </row>
        <row r="156">
          <cell r="A156" t="str">
            <v>HYDROGEN SULFIDE</v>
          </cell>
        </row>
        <row r="157">
          <cell r="A157" t="str">
            <v>NITROGEN</v>
          </cell>
        </row>
      </sheetData>
      <sheetData sheetId="9">
        <row r="174">
          <cell r="B174" t="str">
            <v>FLARE_MAIN FLARE</v>
          </cell>
          <cell r="C174" t="str">
            <v>H2 RX IN</v>
          </cell>
          <cell r="D174" t="str">
            <v>H2 RX IN</v>
          </cell>
          <cell r="E174" t="str">
            <v>C-2201</v>
          </cell>
          <cell r="F174" t="str">
            <v>C-2202</v>
          </cell>
          <cell r="G174" t="str">
            <v>C-2303</v>
          </cell>
          <cell r="H174" t="str">
            <v>DEMET  BTM  OUT</v>
          </cell>
          <cell r="I174" t="str">
            <v>FURNACE FUEL</v>
          </cell>
          <cell r="J174" t="str">
            <v>FURNACE FUEL</v>
          </cell>
          <cell r="K174" t="str">
            <v>FURNACE FUEL</v>
          </cell>
          <cell r="L174" t="str">
            <v>FURNACE FUEL</v>
          </cell>
          <cell r="M174" t="str">
            <v>FURNACE FUEL</v>
          </cell>
          <cell r="N174" t="str">
            <v>FURNACE FUEL</v>
          </cell>
          <cell r="O174" t="str">
            <v>FURNACE FUEL</v>
          </cell>
          <cell r="P174" t="str">
            <v>FURNACE FUEL</v>
          </cell>
          <cell r="Q174" t="str">
            <v>FURNACE FUEL</v>
          </cell>
          <cell r="R174" t="str">
            <v>FURNACE FUEL</v>
          </cell>
          <cell r="S174" t="str">
            <v>FURNACE FUEL</v>
          </cell>
          <cell r="T174" t="str">
            <v>FURNACE FUEL</v>
          </cell>
          <cell r="U174" t="str">
            <v>FURNACE FUEL</v>
          </cell>
          <cell r="V174" t="str">
            <v>FURNACE FUEL</v>
          </cell>
          <cell r="W174" t="str">
            <v>FURNACE FUEL</v>
          </cell>
          <cell r="X174" t="str">
            <v>FURNACE FUEL</v>
          </cell>
          <cell r="Y174" t="str">
            <v>FURNACE FUEL</v>
          </cell>
          <cell r="Z174" t="str">
            <v>FURNACE FUEL</v>
          </cell>
          <cell r="AA174" t="str">
            <v>FURNACE FUEL</v>
          </cell>
          <cell r="AB174" t="str">
            <v>FURNACE FUEL</v>
          </cell>
          <cell r="AC174" t="str">
            <v>FURNACE FUEL</v>
          </cell>
          <cell r="AD174" t="str">
            <v>SALES GAS FUEL</v>
          </cell>
          <cell r="AE174" t="str">
            <v>C-1933</v>
          </cell>
          <cell r="AF174" t="str">
            <v>H-1951</v>
          </cell>
          <cell r="AG174" t="str">
            <v>PILOT BURNER_FURNACE</v>
          </cell>
          <cell r="AH174" t="str">
            <v>PILOT BURNER_FURNACE</v>
          </cell>
          <cell r="AI174" t="str">
            <v>PILOT BURNER_FURNACE</v>
          </cell>
          <cell r="AJ174" t="str">
            <v>PILOT BURNER_FURNACE</v>
          </cell>
          <cell r="AK174" t="str">
            <v>FLARE_ACID GAS (CO2 STRIPPER)</v>
          </cell>
          <cell r="AL174" t="str">
            <v>SALES GAS FUEL</v>
          </cell>
          <cell r="AM174" t="str">
            <v>SALES GAS FUEL</v>
          </cell>
          <cell r="AN174" t="str">
            <v>FLARE_TANK FLARE</v>
          </cell>
          <cell r="AO174" t="str">
            <v>C2H4 PRODUCT</v>
          </cell>
          <cell r="AP174" t="str">
            <v>PILOT BURNER_FURNACE</v>
          </cell>
          <cell r="AQ174" t="str">
            <v>SALES GAS FUEL</v>
          </cell>
          <cell r="AR174" t="str">
            <v>FURNACE FUEL</v>
          </cell>
          <cell r="AS174" t="str">
            <v>FURNACE FUEL</v>
          </cell>
          <cell r="AT174" t="str">
            <v>FURNACE FUEL</v>
          </cell>
          <cell r="AU174" t="str">
            <v>FURNACE FUEL</v>
          </cell>
          <cell r="AV174" t="str">
            <v>FURNACE FUEL</v>
          </cell>
          <cell r="AW174" t="str">
            <v>FURNACE FUEL</v>
          </cell>
          <cell r="AX174" t="str">
            <v>FURNACE FUEL</v>
          </cell>
          <cell r="AY174" t="str">
            <v>FURNACE FUEL</v>
          </cell>
          <cell r="AZ174" t="str">
            <v>FURNACE FUEL</v>
          </cell>
          <cell r="BA174" t="str">
            <v>FURNACE FUEL</v>
          </cell>
          <cell r="BB174" t="str">
            <v>FURNACE FUEL</v>
          </cell>
          <cell r="BC174" t="str">
            <v>FURNACE FUEL</v>
          </cell>
          <cell r="BD174" t="str">
            <v>FURNACE FUEL</v>
          </cell>
          <cell r="BE174" t="str">
            <v>FURNACE FUEL</v>
          </cell>
          <cell r="BF174" t="str">
            <v>FURNACE FUEL</v>
          </cell>
          <cell r="BG174" t="str">
            <v>FURNACE FUEL</v>
          </cell>
          <cell r="BH174" t="str">
            <v>FURNACE FUEL</v>
          </cell>
          <cell r="BI174" t="str">
            <v>FURNACE FUEL</v>
          </cell>
          <cell r="BJ174" t="str">
            <v>FURNACE FUEL</v>
          </cell>
          <cell r="BK174" t="str">
            <v>FURNACE FUEL</v>
          </cell>
          <cell r="BL174" t="str">
            <v>FURNACE FUEL</v>
          </cell>
          <cell r="BM174" t="str">
            <v>FURNACE FUEL</v>
          </cell>
          <cell r="BN174" t="str">
            <v>FURNACE FUEL</v>
          </cell>
          <cell r="BO174" t="str">
            <v>FURNACE FUEL</v>
          </cell>
          <cell r="BP174" t="str">
            <v>FURNACE FUEL</v>
          </cell>
          <cell r="BQ174" t="str">
            <v>FURNACE FUEL</v>
          </cell>
          <cell r="BR174" t="str">
            <v>FURNACE FUEL</v>
          </cell>
          <cell r="BS174" t="str">
            <v>FURNACE FUEL</v>
          </cell>
          <cell r="BT174" t="str">
            <v>PILOT BURNER_FURNACE</v>
          </cell>
          <cell r="BU174" t="str">
            <v>PILOT BURNER_FURNACE</v>
          </cell>
          <cell r="BV174" t="str">
            <v>PILOT BURNER_FURNACE</v>
          </cell>
          <cell r="BW174" t="str">
            <v>PILOT BURNER_FURNACE</v>
          </cell>
          <cell r="BX174" t="str">
            <v>PILOT BURNER_FURNACE</v>
          </cell>
          <cell r="BY174" t="str">
            <v>PILOT BURNER_FURNACE</v>
          </cell>
          <cell r="BZ174" t="str">
            <v>PILOT BURNER_FURNACE</v>
          </cell>
          <cell r="CA174" t="str">
            <v>TAIL GAS EXPORT</v>
          </cell>
          <cell r="CB174" t="str">
            <v>TAIL GAS EXPORT</v>
          </cell>
          <cell r="CC174" t="str">
            <v>TAIL GAS EXPORT</v>
          </cell>
          <cell r="CD174" t="str">
            <v>TAIL GAS EXPORT</v>
          </cell>
          <cell r="CE174" t="str">
            <v>TAIL GAS EXPORT</v>
          </cell>
          <cell r="CF174" t="str">
            <v>SALES GAS FUEL</v>
          </cell>
          <cell r="CG174" t="str">
            <v>C3H8 FD TO STR TK</v>
          </cell>
          <cell r="CH174" t="str">
            <v xml:space="preserve">CH4 PROD </v>
          </cell>
          <cell r="CI174" t="str">
            <v>H2 OVHD KO DRUM</v>
          </cell>
          <cell r="CJ174" t="str">
            <v>FLARE_ACID GAS(CAUSTIC SCRUBBER)</v>
          </cell>
          <cell r="CK174" t="str">
            <v>PILOT BURNER_FURNACE</v>
          </cell>
        </row>
      </sheetData>
      <sheetData sheetId="10">
        <row r="6">
          <cell r="D6">
            <v>25</v>
          </cell>
        </row>
      </sheetData>
      <sheetData sheetId="11">
        <row r="25">
          <cell r="Y25" t="str">
            <v>Stationary Combustion</v>
          </cell>
        </row>
        <row r="26">
          <cell r="Y26" t="str">
            <v>Flare</v>
          </cell>
        </row>
        <row r="27">
          <cell r="Y27" t="str">
            <v>Oil and Gas Venting</v>
          </cell>
        </row>
        <row r="28">
          <cell r="Y28" t="str">
            <v>Acid Gas Removal (AGR)</v>
          </cell>
        </row>
        <row r="29">
          <cell r="Y29" t="str">
            <v>Glycol Dehydrator</v>
          </cell>
        </row>
        <row r="30">
          <cell r="Y30" t="str">
            <v>Fugitive Emissions</v>
          </cell>
        </row>
        <row r="31">
          <cell r="Y31" t="str">
            <v>Mobile and Transportation</v>
          </cell>
        </row>
        <row r="32">
          <cell r="Y32" t="str">
            <v>Refinery Process Unit</v>
          </cell>
        </row>
        <row r="33">
          <cell r="Y33" t="str">
            <v>Refrigerant</v>
          </cell>
        </row>
        <row r="34">
          <cell r="Y34" t="str">
            <v>Imported Energy - Electricity</v>
          </cell>
        </row>
        <row r="35">
          <cell r="Y35" t="str">
            <v>Imported Energy - Steam</v>
          </cell>
        </row>
        <row r="36">
          <cell r="Y36" t="str">
            <v>Exported Energy - Electricity</v>
          </cell>
        </row>
        <row r="37">
          <cell r="Y37" t="str">
            <v>Exported Energy - Steam</v>
          </cell>
        </row>
      </sheetData>
      <sheetData sheetId="12">
        <row r="76">
          <cell r="H76">
            <v>15.5555555600007</v>
          </cell>
        </row>
        <row r="77">
          <cell r="H77">
            <v>22.4139681373466</v>
          </cell>
        </row>
        <row r="78">
          <cell r="H78">
            <v>23.684999999999999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022" displayName="Table2022" ref="A5:AH71" totalsRowShown="0" headerRowDxfId="75" dataDxfId="73" headerRowBorderDxfId="74" tableBorderDxfId="72" headerRowCellStyle="Normal 3" dataCellStyle="Normal 3">
  <autoFilter ref="A5:AH71" xr:uid="{00000000-0009-0000-0100-000001000000}"/>
  <tableColumns count="34">
    <tableColumn id="1" xr3:uid="{00000000-0010-0000-0000-000001000000}" name="Column1" dataDxfId="71" dataCellStyle="Normal 3"/>
    <tableColumn id="2" xr3:uid="{00000000-0010-0000-0000-000002000000}" name="Column2" dataDxfId="70" dataCellStyle="Normal 3">
      <calculatedColumnFormula>IF(A6="","",DATE($F$1,1,1))</calculatedColumnFormula>
    </tableColumn>
    <tableColumn id="3" xr3:uid="{00000000-0010-0000-0000-000003000000}" name="Column3" dataDxfId="69" dataCellStyle="Normal 3"/>
    <tableColumn id="4" xr3:uid="{00000000-0010-0000-0000-000004000000}" name="Column4" dataDxfId="68" dataCellStyle="Normal 3"/>
    <tableColumn id="5" xr3:uid="{00000000-0010-0000-0000-000005000000}" name="Column5" dataDxfId="67" dataCellStyle="Normal 3"/>
    <tableColumn id="6" xr3:uid="{00000000-0010-0000-0000-000006000000}" name="Column6" dataDxfId="66" dataCellStyle="Normal 3"/>
    <tableColumn id="7" xr3:uid="{00000000-0010-0000-0000-000007000000}" name="Column7" dataDxfId="65" dataCellStyle="Normal 3">
      <calculatedColumnFormula array="1">IF(OR(C6="",F6=""),"",IFERROR(_xlfn.XLOOKUP(1, (INDEX(Emission_Factor_Unit,,1)=C6)*(INDEX(Emission_Factor_Unit,,2)=F6), INDEX(Emission_Factor_Unit,,4)),""))</calculatedColumnFormula>
    </tableColumn>
    <tableColumn id="8" xr3:uid="{00000000-0010-0000-0000-000008000000}" name="Column8" dataDxfId="64" dataCellStyle="Normal 3"/>
    <tableColumn id="9" xr3:uid="{00000000-0010-0000-0000-000009000000}" name="Column9" dataDxfId="63" dataCellStyle="Normal 3"/>
    <tableColumn id="10" xr3:uid="{00000000-0010-0000-0000-00000A000000}" name="Column10" dataDxfId="62" dataCellStyle="Normal 3"/>
    <tableColumn id="11" xr3:uid="{00000000-0010-0000-0000-00000B000000}" name="Column11" dataDxfId="61" dataCellStyle="Normal 3"/>
    <tableColumn id="12" xr3:uid="{00000000-0010-0000-0000-00000C000000}" name="Column12" dataDxfId="60" dataCellStyle="Normal 3"/>
    <tableColumn id="13" xr3:uid="{00000000-0010-0000-0000-00000D000000}" name="Column13" dataDxfId="59" dataCellStyle="Normal 3"/>
    <tableColumn id="14" xr3:uid="{00000000-0010-0000-0000-00000E000000}" name="Column14" dataDxfId="58" dataCellStyle="Normal 3"/>
    <tableColumn id="15" xr3:uid="{00000000-0010-0000-0000-00000F000000}" name="Column15" dataDxfId="57" dataCellStyle="Normal 3"/>
    <tableColumn id="16" xr3:uid="{00000000-0010-0000-0000-000010000000}" name="Column16" dataDxfId="56" dataCellStyle="Normal 3"/>
    <tableColumn id="17" xr3:uid="{00000000-0010-0000-0000-000011000000}" name="Column17" dataDxfId="55" dataCellStyle="Normal 3"/>
    <tableColumn id="18" xr3:uid="{00000000-0010-0000-0000-000012000000}" name="Column18" dataDxfId="54" dataCellStyle="Normal 3"/>
    <tableColumn id="19" xr3:uid="{00000000-0010-0000-0000-000013000000}" name="Column19" dataDxfId="53" dataCellStyle="Normal 3"/>
    <tableColumn id="20" xr3:uid="{00000000-0010-0000-0000-000014000000}" name="Column20" dataDxfId="52" dataCellStyle="Normal 3">
      <calculatedColumnFormula>IF(COUNT(H6:S6)=0, "", SUM(H6:S6))</calculatedColumnFormula>
    </tableColumn>
    <tableColumn id="21" xr3:uid="{00000000-0010-0000-0000-000015000000}" name="0.00184" dataDxfId="51" dataCellStyle="Normal 3">
      <calculatedColumnFormula array="1">IF(OR(C6="",F6=""),"",IFERROR(_xlfn.XLOOKUP(1, (INDEX(Emission_Factor,,1)=C6)*(INDEX(Emission_Factor,,2)=F6), INDEX(Emission_Factor,,3)),""))</calculatedColumnFormula>
    </tableColumn>
    <tableColumn id="22" xr3:uid="{00000000-0010-0000-0000-000016000000}" name="278.100" dataDxfId="50" dataCellStyle="Normal 3">
      <calculatedColumnFormula>IF(OR($U6="", H6="", ISBLANK($U6), ISBLANK(H6)), "", ($U6*H6))</calculatedColumnFormula>
    </tableColumn>
    <tableColumn id="23" xr3:uid="{00000000-0010-0000-0000-000017000000}" name="221.754" dataDxfId="49" dataCellStyle="Normal 3">
      <calculatedColumnFormula>IF(OR($U6="", I6="", ISBLANK($U6), ISBLANK(I6)), "", ($U6*I6))</calculatedColumnFormula>
    </tableColumn>
    <tableColumn id="24" xr3:uid="{00000000-0010-0000-0000-000018000000}" name="19.036" dataDxfId="48" dataCellStyle="Normal 3">
      <calculatedColumnFormula>IF(OR($U6="", J6="", ISBLANK($U6), ISBLANK(J6)), "", ($U6*J6))</calculatedColumnFormula>
    </tableColumn>
    <tableColumn id="25" xr3:uid="{00000000-0010-0000-0000-000019000000}" name="319.459" dataDxfId="47" dataCellStyle="Normal 3">
      <calculatedColumnFormula>IF(OR($U6="", K6="", ISBLANK($U6), ISBLANK(K6)), "", ($U6*K6))</calculatedColumnFormula>
    </tableColumn>
    <tableColumn id="26" xr3:uid="{00000000-0010-0000-0000-00001A000000}" name="620.559" dataDxfId="46" dataCellStyle="Normal 3">
      <calculatedColumnFormula>IF(OR($U6="", L6="", ISBLANK($U6), ISBLANK(L6)), "", ($U6*L6))</calculatedColumnFormula>
    </tableColumn>
    <tableColumn id="27" xr3:uid="{00000000-0010-0000-0000-00001B000000}" name="678.557" dataDxfId="45" dataCellStyle="Normal 3">
      <calculatedColumnFormula>IF(OR($U6="", M6="", ISBLANK($U6), ISBLANK(M6)), "", ($U6*M6))</calculatedColumnFormula>
    </tableColumn>
    <tableColumn id="28" xr3:uid="{00000000-0010-0000-0000-00001C000000}" name="596.514" dataDxfId="44" dataCellStyle="Normal 3">
      <calculatedColumnFormula>IF(OR($U6="", N6="", ISBLANK($U6), ISBLANK(N6)), "", ($U6*N6))</calculatedColumnFormula>
    </tableColumn>
    <tableColumn id="29" xr3:uid="{00000000-0010-0000-0000-00001D000000}" name="650.054" dataDxfId="43" dataCellStyle="Normal 3">
      <calculatedColumnFormula>IF(OR($U6="", O6="", ISBLANK($U6), ISBLANK(O6)), "", ($U6*O6))</calculatedColumnFormula>
    </tableColumn>
    <tableColumn id="30" xr3:uid="{00000000-0010-0000-0000-00001E000000}" name="600.273" dataDxfId="42" dataCellStyle="Normal 3">
      <calculatedColumnFormula>IF(OR($U6="", P6="", ISBLANK($U6), ISBLANK(P6)), "", ($U6*P6))</calculatedColumnFormula>
    </tableColumn>
    <tableColumn id="31" xr3:uid="{00000000-0010-0000-0000-00001F000000}" name="653.010" dataDxfId="41" dataCellStyle="Normal 3">
      <calculatedColumnFormula>IF(OR($U6="", Q6="", ISBLANK($U6), ISBLANK(Q6)), "", ($U6*Q6))</calculatedColumnFormula>
    </tableColumn>
    <tableColumn id="32" xr3:uid="{00000000-0010-0000-0000-000020000000}" name="520.305" dataDxfId="40" dataCellStyle="Normal 3">
      <calculatedColumnFormula>IF(OR($U6="", R6="", ISBLANK($U6), ISBLANK(R6)), "", ($U6*R6))</calculatedColumnFormula>
    </tableColumn>
    <tableColumn id="33" xr3:uid="{00000000-0010-0000-0000-000021000000}" name="714.586" dataDxfId="39" dataCellStyle="Normal 3">
      <calculatedColumnFormula>IF(OR($U6="", S6="", ISBLANK($U6), ISBLANK(S6)), "", ($U6*S6))</calculatedColumnFormula>
    </tableColumn>
    <tableColumn id="34" xr3:uid="{00000000-0010-0000-0000-000022000000}" name="5872.208" dataDxfId="38" dataCellStyle="Normal 3">
      <calculatedColumnFormula>IF(OR(T6="", U6="", ISBLANK(T6), ISBLANK(U6)), "", (T6*U6))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023" displayName="Table2023" ref="A6:AH72" totalsRowShown="0" headerRowDxfId="37" dataDxfId="35" headerRowBorderDxfId="36" tableBorderDxfId="34" headerRowCellStyle="Normal 3" dataCellStyle="Normal 3">
  <autoFilter ref="A6:AH72" xr:uid="{00000000-0009-0000-0100-000002000000}"/>
  <tableColumns count="34">
    <tableColumn id="1" xr3:uid="{00000000-0010-0000-0100-000001000000}" name="Column1" dataDxfId="33" dataCellStyle="Normal 3"/>
    <tableColumn id="2" xr3:uid="{00000000-0010-0000-0100-000002000000}" name="Column2" dataDxfId="32" dataCellStyle="Normal 3">
      <calculatedColumnFormula>IF(A7="","",DATE($F$1,1,1))</calculatedColumnFormula>
    </tableColumn>
    <tableColumn id="3" xr3:uid="{00000000-0010-0000-0100-000003000000}" name="Column3" dataDxfId="31" dataCellStyle="Normal 3"/>
    <tableColumn id="4" xr3:uid="{00000000-0010-0000-0100-000004000000}" name="Column4" dataDxfId="30" dataCellStyle="Normal 3"/>
    <tableColumn id="5" xr3:uid="{00000000-0010-0000-0100-000005000000}" name="Column5" dataDxfId="29" dataCellStyle="Normal 3"/>
    <tableColumn id="6" xr3:uid="{00000000-0010-0000-0100-000006000000}" name="Column6" dataDxfId="28" dataCellStyle="Normal 3"/>
    <tableColumn id="7" xr3:uid="{00000000-0010-0000-0100-000007000000}" name="Column7" dataDxfId="27" dataCellStyle="Normal 3">
      <calculatedColumnFormula array="1">IF(OR(C7="",F7=""),"",IFERROR(_xlfn.XLOOKUP(1, (INDEX(Emission_Factor_Unit,,1)=C7)*(INDEX(Emission_Factor_Unit,,2)=F7), INDEX(Emission_Factor_Unit,,4)),""))</calculatedColumnFormula>
    </tableColumn>
    <tableColumn id="8" xr3:uid="{00000000-0010-0000-0100-000008000000}" name="Column8" dataDxfId="26" dataCellStyle="Normal 3"/>
    <tableColumn id="9" xr3:uid="{00000000-0010-0000-0100-000009000000}" name="Column9" dataDxfId="25" dataCellStyle="Normal 3"/>
    <tableColumn id="10" xr3:uid="{00000000-0010-0000-0100-00000A000000}" name="Column10" dataDxfId="24" dataCellStyle="Normal 3"/>
    <tableColumn id="11" xr3:uid="{00000000-0010-0000-0100-00000B000000}" name="Column11" dataDxfId="23" dataCellStyle="Normal 3"/>
    <tableColumn id="12" xr3:uid="{00000000-0010-0000-0100-00000C000000}" name="Column12" dataDxfId="22" dataCellStyle="Normal 3"/>
    <tableColumn id="13" xr3:uid="{00000000-0010-0000-0100-00000D000000}" name="Column13" dataDxfId="21" dataCellStyle="Normal 3"/>
    <tableColumn id="14" xr3:uid="{00000000-0010-0000-0100-00000E000000}" name="Column14" dataDxfId="20" dataCellStyle="Normal 3"/>
    <tableColumn id="15" xr3:uid="{00000000-0010-0000-0100-00000F000000}" name="Column15" dataDxfId="19" dataCellStyle="Normal 3"/>
    <tableColumn id="16" xr3:uid="{00000000-0010-0000-0100-000010000000}" name="Column16" dataDxfId="18" dataCellStyle="Normal 3"/>
    <tableColumn id="17" xr3:uid="{00000000-0010-0000-0100-000011000000}" name="Column17" dataDxfId="17" dataCellStyle="Normal 3"/>
    <tableColumn id="18" xr3:uid="{00000000-0010-0000-0100-000012000000}" name="Column18" dataDxfId="16" dataCellStyle="Normal 3"/>
    <tableColumn id="19" xr3:uid="{00000000-0010-0000-0100-000013000000}" name="Column19" dataDxfId="15" dataCellStyle="Normal 3"/>
    <tableColumn id="20" xr3:uid="{00000000-0010-0000-0100-000014000000}" name="Column20" dataDxfId="14" dataCellStyle="Normal 3">
      <calculatedColumnFormula>IF(COUNT(H7:S7)=0, "", SUM(H7:S7))</calculatedColumnFormula>
    </tableColumn>
    <tableColumn id="21" xr3:uid="{00000000-0010-0000-0100-000015000000}" name="Column21" dataDxfId="13" dataCellStyle="Normal 3">
      <calculatedColumnFormula array="1">IF(OR(C7="",F7=""),"",IFERROR(_xlfn.XLOOKUP(1, (INDEX(Emission_Factor,,1)=C7)*(INDEX(Emission_Factor,,2)=F7), INDEX(Emission_Factor,,3)),""))</calculatedColumnFormula>
    </tableColumn>
    <tableColumn id="22" xr3:uid="{00000000-0010-0000-0100-000016000000}" name="Column22" dataDxfId="12" dataCellStyle="Normal 3">
      <calculatedColumnFormula>IF(OR($U7="", H7="", ISBLANK($U7), ISBLANK(H7)), "", ($U7*H7))</calculatedColumnFormula>
    </tableColumn>
    <tableColumn id="23" xr3:uid="{00000000-0010-0000-0100-000017000000}" name="Column23" dataDxfId="11" dataCellStyle="Normal 3">
      <calculatedColumnFormula>IF(OR($U7="", I7="", ISBLANK($U7), ISBLANK(I7)), "", ($U7*I7))</calculatedColumnFormula>
    </tableColumn>
    <tableColumn id="24" xr3:uid="{00000000-0010-0000-0100-000018000000}" name="Column24" dataDxfId="10" dataCellStyle="Normal 3">
      <calculatedColumnFormula>IF(OR($U7="", J7="", ISBLANK($U7), ISBLANK(J7)), "", ($U7*J7))</calculatedColumnFormula>
    </tableColumn>
    <tableColumn id="25" xr3:uid="{00000000-0010-0000-0100-000019000000}" name="Column25" dataDxfId="9" dataCellStyle="Normal 3">
      <calculatedColumnFormula>IF(OR($U7="", K7="", ISBLANK($U7), ISBLANK(K7)), "", ($U7*K7))</calculatedColumnFormula>
    </tableColumn>
    <tableColumn id="26" xr3:uid="{00000000-0010-0000-0100-00001A000000}" name="Column26" dataDxfId="8" dataCellStyle="Normal 3">
      <calculatedColumnFormula>IF(OR($U7="", L7="", ISBLANK($U7), ISBLANK(L7)), "", ($U7*L7))</calculatedColumnFormula>
    </tableColumn>
    <tableColumn id="27" xr3:uid="{00000000-0010-0000-0100-00001B000000}" name="Column27" dataDxfId="7" dataCellStyle="Normal 3">
      <calculatedColumnFormula>IF(OR($U7="", M7="", ISBLANK($U7), ISBLANK(M7)), "", ($U7*M7))</calculatedColumnFormula>
    </tableColumn>
    <tableColumn id="28" xr3:uid="{00000000-0010-0000-0100-00001C000000}" name="Column28" dataDxfId="6" dataCellStyle="Normal 3">
      <calculatedColumnFormula>IF(OR($U7="", N7="", ISBLANK($U7), ISBLANK(N7)), "", ($U7*N7))</calculatedColumnFormula>
    </tableColumn>
    <tableColumn id="29" xr3:uid="{00000000-0010-0000-0100-00001D000000}" name="Column29" dataDxfId="5" dataCellStyle="Normal 3">
      <calculatedColumnFormula>IF(OR($U7="", O7="", ISBLANK($U7), ISBLANK(O7)), "", ($U7*O7))</calculatedColumnFormula>
    </tableColumn>
    <tableColumn id="30" xr3:uid="{00000000-0010-0000-0100-00001E000000}" name="Column30" dataDxfId="4" dataCellStyle="Normal 3">
      <calculatedColumnFormula>IF(OR($U7="", P7="", ISBLANK($U7), ISBLANK(P7)), "", ($U7*P7))</calculatedColumnFormula>
    </tableColumn>
    <tableColumn id="31" xr3:uid="{00000000-0010-0000-0100-00001F000000}" name="Column31" dataDxfId="3" dataCellStyle="Normal 3">
      <calculatedColumnFormula>IF(OR($U7="", Q7="", ISBLANK($U7), ISBLANK(Q7)), "", ($U7*Q7))</calculatedColumnFormula>
    </tableColumn>
    <tableColumn id="32" xr3:uid="{00000000-0010-0000-0100-000020000000}" name="Column32" dataDxfId="2" dataCellStyle="Normal 3">
      <calculatedColumnFormula>IF(OR($U7="", R7="", ISBLANK($U7), ISBLANK(R7)), "", ($U7*R7))</calculatedColumnFormula>
    </tableColumn>
    <tableColumn id="33" xr3:uid="{00000000-0010-0000-0100-000021000000}" name="Column33" dataDxfId="1" dataCellStyle="Normal 3">
      <calculatedColumnFormula>IF(OR($U7="", S7="", ISBLANK($U7), ISBLANK(S7)), "", ($U7*S7))</calculatedColumnFormula>
    </tableColumn>
    <tableColumn id="34" xr3:uid="{00000000-0010-0000-0100-000022000000}" name="Column34" dataDxfId="0" dataCellStyle="Normal 3">
      <calculatedColumnFormula>IF(OR(T7="", U7="", ISBLANK(T7), ISBLANK(U7)), "", (T7*U7))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249977111117893"/>
  </sheetPr>
  <dimension ref="A1:AH71"/>
  <sheetViews>
    <sheetView zoomScale="66" zoomScaleNormal="145" workbookViewId="0">
      <pane xSplit="7" ySplit="3" topLeftCell="AA6" activePane="bottomRight" state="frozenSplit"/>
      <selection pane="topRight" activeCell="N1" sqref="N1"/>
      <selection pane="bottomLeft" activeCell="A16" sqref="A16"/>
      <selection pane="bottomRight" activeCell="AB3" sqref="AB3"/>
    </sheetView>
  </sheetViews>
  <sheetFormatPr defaultRowHeight="15"/>
  <cols>
    <col min="1" max="1" width="13.85546875" customWidth="1"/>
    <col min="2" max="2" width="14.140625" style="3" customWidth="1"/>
    <col min="3" max="3" width="13.85546875" customWidth="1"/>
    <col min="4" max="4" width="30.5703125" customWidth="1"/>
    <col min="5" max="5" width="38.140625" customWidth="1"/>
    <col min="6" max="6" width="36.140625" customWidth="1"/>
    <col min="7" max="7" width="10.7109375" customWidth="1"/>
    <col min="8" max="8" width="12.5703125" style="2" hidden="1" customWidth="1"/>
    <col min="9" max="9" width="13.85546875" style="2" hidden="1" customWidth="1"/>
    <col min="10" max="19" width="15.28515625" style="2" hidden="1" customWidth="1"/>
    <col min="20" max="20" width="13.7109375" style="2" hidden="1" customWidth="1"/>
    <col min="21" max="33" width="15.28515625" style="2" customWidth="1"/>
    <col min="34" max="34" width="18.5703125" style="2" customWidth="1"/>
    <col min="35" max="40" width="13.5703125" customWidth="1"/>
  </cols>
  <sheetData>
    <row r="1" spans="1:34" s="39" customFormat="1" ht="24" customHeight="1" thickBot="1">
      <c r="A1" s="45" t="s">
        <v>75</v>
      </c>
      <c r="C1" s="44"/>
      <c r="E1" s="43" t="s">
        <v>76</v>
      </c>
      <c r="F1" s="42">
        <v>2022</v>
      </c>
      <c r="H1" s="40"/>
      <c r="I1" s="41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</row>
    <row r="2" spans="1:34" ht="15.75" customHeight="1" thickBot="1">
      <c r="A2" s="37"/>
      <c r="B2" s="38"/>
      <c r="C2" s="37"/>
      <c r="D2" s="37"/>
      <c r="E2" s="37"/>
      <c r="F2" s="37"/>
      <c r="G2" s="37"/>
      <c r="H2" s="68" t="s">
        <v>77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70"/>
      <c r="U2" s="46"/>
      <c r="V2" s="71" t="s">
        <v>78</v>
      </c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3"/>
    </row>
    <row r="3" spans="1:34" ht="35.450000000000003" customHeight="1">
      <c r="A3" s="36" t="s">
        <v>79</v>
      </c>
      <c r="B3" s="35" t="s">
        <v>80</v>
      </c>
      <c r="C3" s="33" t="s">
        <v>2</v>
      </c>
      <c r="D3" s="33" t="s">
        <v>4</v>
      </c>
      <c r="E3" s="34" t="s">
        <v>81</v>
      </c>
      <c r="F3" s="33" t="s">
        <v>5</v>
      </c>
      <c r="G3" s="32" t="s">
        <v>6</v>
      </c>
      <c r="H3" s="30">
        <f t="shared" ref="H3:S3" si="0">DATE($F$1, COLUMN(H3)-7, 1)</f>
        <v>44562</v>
      </c>
      <c r="I3" s="30">
        <f t="shared" si="0"/>
        <v>44593</v>
      </c>
      <c r="J3" s="30">
        <f t="shared" si="0"/>
        <v>44621</v>
      </c>
      <c r="K3" s="30">
        <f t="shared" si="0"/>
        <v>44652</v>
      </c>
      <c r="L3" s="30">
        <f t="shared" si="0"/>
        <v>44682</v>
      </c>
      <c r="M3" s="30">
        <f t="shared" si="0"/>
        <v>44713</v>
      </c>
      <c r="N3" s="30">
        <f t="shared" si="0"/>
        <v>44743</v>
      </c>
      <c r="O3" s="30">
        <f t="shared" si="0"/>
        <v>44774</v>
      </c>
      <c r="P3" s="30">
        <f t="shared" si="0"/>
        <v>44805</v>
      </c>
      <c r="Q3" s="30">
        <f t="shared" si="0"/>
        <v>44835</v>
      </c>
      <c r="R3" s="30">
        <f t="shared" si="0"/>
        <v>44866</v>
      </c>
      <c r="S3" s="30">
        <f t="shared" si="0"/>
        <v>44896</v>
      </c>
      <c r="T3" s="31" t="s">
        <v>8</v>
      </c>
      <c r="U3" s="47" t="s">
        <v>82</v>
      </c>
      <c r="V3" s="48">
        <v>44562</v>
      </c>
      <c r="W3" s="48">
        <v>44593</v>
      </c>
      <c r="X3" s="48">
        <v>44621</v>
      </c>
      <c r="Y3" s="48">
        <v>44652</v>
      </c>
      <c r="Z3" s="48">
        <v>44682</v>
      </c>
      <c r="AA3" s="48">
        <v>44713</v>
      </c>
      <c r="AB3" s="48">
        <v>44743</v>
      </c>
      <c r="AC3" s="48">
        <v>44774</v>
      </c>
      <c r="AD3" s="48">
        <v>44805</v>
      </c>
      <c r="AE3" s="48">
        <v>44835</v>
      </c>
      <c r="AF3" s="48">
        <v>44866</v>
      </c>
      <c r="AG3" s="48">
        <v>44896</v>
      </c>
      <c r="AH3" s="47" t="s">
        <v>83</v>
      </c>
    </row>
    <row r="4" spans="1:34" s="16" customFormat="1" hidden="1">
      <c r="A4" s="26" t="s">
        <v>22</v>
      </c>
      <c r="B4" s="29">
        <f>IF(A4="","",DATE($F$1,1,1))</f>
        <v>44562</v>
      </c>
      <c r="C4" s="28" t="s">
        <v>23</v>
      </c>
      <c r="D4" s="28" t="s">
        <v>25</v>
      </c>
      <c r="E4" s="27" t="s">
        <v>24</v>
      </c>
      <c r="F4" s="26" t="s">
        <v>26</v>
      </c>
      <c r="G4" s="26" t="str">
        <f t="array" ref="G4">IF(OR(C4="",F4=""),"",IFERROR(_xlfn.XLOOKUP(1, (INDEX(Emission_Factor_Unit,,1)=C4)*(INDEX(Emission_Factor_Unit,,2)=F4), INDEX(Emission_Factor_Unit,,4)),""))</f>
        <v>GJ</v>
      </c>
      <c r="H4" s="26">
        <v>100</v>
      </c>
      <c r="I4" s="26">
        <v>100</v>
      </c>
      <c r="J4" s="26">
        <v>100</v>
      </c>
      <c r="K4" s="26">
        <v>100</v>
      </c>
      <c r="L4" s="26">
        <v>100</v>
      </c>
      <c r="M4" s="26">
        <v>100</v>
      </c>
      <c r="N4" s="26">
        <v>100</v>
      </c>
      <c r="O4" s="26">
        <v>100</v>
      </c>
      <c r="P4" s="26">
        <v>100</v>
      </c>
      <c r="Q4" s="26">
        <v>100</v>
      </c>
      <c r="R4" s="26">
        <v>100</v>
      </c>
      <c r="S4" s="26">
        <v>100</v>
      </c>
      <c r="T4" s="26">
        <f>IF(COUNT(H4:S4)=0, "", SUM(H4:S4))</f>
        <v>1200</v>
      </c>
      <c r="U4" s="49">
        <v>5.0351584999999997E-2</v>
      </c>
      <c r="V4" s="49">
        <v>5.0351584999999996</v>
      </c>
      <c r="W4" s="50">
        <v>5.0351584999999996</v>
      </c>
      <c r="X4" s="50">
        <v>5.0351584999999996</v>
      </c>
      <c r="Y4" s="50">
        <v>5.0351584999999996</v>
      </c>
      <c r="Z4" s="50">
        <v>5.0351584999999996</v>
      </c>
      <c r="AA4" s="50">
        <v>5.0351584999999996</v>
      </c>
      <c r="AB4" s="50">
        <v>5.0351584999999996</v>
      </c>
      <c r="AC4" s="50">
        <v>5.0351584999999996</v>
      </c>
      <c r="AD4" s="50">
        <v>5.0351584999999996</v>
      </c>
      <c r="AE4" s="50">
        <v>5.0351584999999996</v>
      </c>
      <c r="AF4" s="50">
        <v>5.0351584999999996</v>
      </c>
      <c r="AG4" s="51">
        <v>5.0351584999999996</v>
      </c>
      <c r="AH4" s="51">
        <v>60.421902000000003</v>
      </c>
    </row>
    <row r="5" spans="1:34" s="16" customFormat="1" hidden="1">
      <c r="A5" s="23" t="s">
        <v>84</v>
      </c>
      <c r="B5" s="22" t="s">
        <v>85</v>
      </c>
      <c r="C5" s="25" t="s">
        <v>86</v>
      </c>
      <c r="D5" s="10" t="s">
        <v>87</v>
      </c>
      <c r="E5" s="23" t="s">
        <v>88</v>
      </c>
      <c r="F5" s="24" t="s">
        <v>89</v>
      </c>
      <c r="G5" s="20" t="s">
        <v>90</v>
      </c>
      <c r="H5" s="18" t="s">
        <v>91</v>
      </c>
      <c r="I5" s="18" t="s">
        <v>92</v>
      </c>
      <c r="J5" s="18" t="s">
        <v>93</v>
      </c>
      <c r="K5" s="18" t="s">
        <v>94</v>
      </c>
      <c r="L5" s="18" t="s">
        <v>95</v>
      </c>
      <c r="M5" s="18" t="s">
        <v>96</v>
      </c>
      <c r="N5" s="18" t="s">
        <v>97</v>
      </c>
      <c r="O5" s="18" t="s">
        <v>98</v>
      </c>
      <c r="P5" s="18" t="s">
        <v>99</v>
      </c>
      <c r="Q5" s="18" t="s">
        <v>100</v>
      </c>
      <c r="R5" s="18" t="s">
        <v>101</v>
      </c>
      <c r="S5" s="18" t="s">
        <v>102</v>
      </c>
      <c r="T5" s="18" t="s">
        <v>103</v>
      </c>
      <c r="U5" s="52" t="s">
        <v>104</v>
      </c>
      <c r="V5" s="1" t="s">
        <v>105</v>
      </c>
      <c r="W5" s="1" t="s">
        <v>106</v>
      </c>
      <c r="X5" s="1" t="s">
        <v>107</v>
      </c>
      <c r="Y5" s="1" t="s">
        <v>108</v>
      </c>
      <c r="Z5" s="1" t="s">
        <v>109</v>
      </c>
      <c r="AA5" s="1" t="s">
        <v>110</v>
      </c>
      <c r="AB5" s="1" t="s">
        <v>111</v>
      </c>
      <c r="AC5" s="1" t="s">
        <v>112</v>
      </c>
      <c r="AD5" s="1" t="s">
        <v>113</v>
      </c>
      <c r="AE5" s="1" t="s">
        <v>114</v>
      </c>
      <c r="AF5" s="1" t="s">
        <v>115</v>
      </c>
      <c r="AG5" s="1" t="s">
        <v>116</v>
      </c>
      <c r="AH5" s="53" t="s">
        <v>117</v>
      </c>
    </row>
    <row r="6" spans="1:34" s="16" customFormat="1" ht="21.75" customHeight="1">
      <c r="A6" s="23" t="s">
        <v>28</v>
      </c>
      <c r="B6" s="22">
        <f t="shared" ref="B6:B37" si="1">IF(A6="","",DATE($F$1,1,1))</f>
        <v>44562</v>
      </c>
      <c r="C6" s="25" t="s">
        <v>23</v>
      </c>
      <c r="D6" s="10" t="s">
        <v>30</v>
      </c>
      <c r="E6" s="23" t="s">
        <v>29</v>
      </c>
      <c r="F6" s="24" t="s">
        <v>30</v>
      </c>
      <c r="G6" s="20" t="str">
        <f t="array" ref="G6">IF(OR(C6="",F6=""),"",IFERROR(_xlfn.XLOOKUP(1, (INDEX(Emission_Factor_Unit,,1)=C6)*(INDEX(Emission_Factor_Unit,,2)=F6), INDEX(Emission_Factor_Unit,,4)),""))</f>
        <v>m³</v>
      </c>
      <c r="H6" s="18">
        <v>151204.90223721109</v>
      </c>
      <c r="I6" s="18">
        <v>120569.1940068601</v>
      </c>
      <c r="J6" s="18">
        <v>10350.0902690167</v>
      </c>
      <c r="K6" s="18">
        <v>173692.3614355289</v>
      </c>
      <c r="L6" s="18">
        <v>337402.59937394771</v>
      </c>
      <c r="M6" s="18">
        <v>368936.16673687118</v>
      </c>
      <c r="N6" s="18">
        <v>324329.24955950782</v>
      </c>
      <c r="O6" s="18">
        <v>353439.16909077461</v>
      </c>
      <c r="P6" s="18">
        <v>326372.60994440858</v>
      </c>
      <c r="Q6" s="18">
        <v>355046.47174210759</v>
      </c>
      <c r="R6" s="18">
        <v>282893.37324829429</v>
      </c>
      <c r="S6" s="18">
        <v>388525.77565248741</v>
      </c>
      <c r="T6" s="18">
        <f t="shared" ref="T6:T37" si="2">IF(COUNT(H6:S6)=0, "", SUM(H6:S6))</f>
        <v>3192761.963297016</v>
      </c>
      <c r="U6" s="52">
        <v>1.8392250000000001E-3</v>
      </c>
      <c r="V6" s="1">
        <v>14.5862986377665</v>
      </c>
      <c r="W6" s="1">
        <v>155.08814792360999</v>
      </c>
      <c r="X6" s="1">
        <v>706.81397452562999</v>
      </c>
      <c r="Y6" s="1">
        <v>406.84836365523302</v>
      </c>
      <c r="Z6" s="1">
        <v>74.210026144500404</v>
      </c>
      <c r="AA6" s="1">
        <v>17.4514313095784</v>
      </c>
      <c r="AB6" s="1">
        <v>105.160257353874</v>
      </c>
      <c r="AC6" s="1">
        <v>32.715686146892502</v>
      </c>
      <c r="AD6" s="1">
        <v>54.993092323198901</v>
      </c>
      <c r="AE6" s="1">
        <v>33.506535933438897</v>
      </c>
      <c r="AF6" s="1">
        <v>180.96480431954799</v>
      </c>
      <c r="AG6" s="1">
        <v>164.231053670177</v>
      </c>
      <c r="AH6" s="53">
        <v>1946.56967194345</v>
      </c>
    </row>
    <row r="7" spans="1:34" s="16" customFormat="1" ht="21.75" customHeight="1">
      <c r="A7" s="9" t="s">
        <v>28</v>
      </c>
      <c r="B7" s="14">
        <f t="shared" si="1"/>
        <v>44562</v>
      </c>
      <c r="C7" s="11" t="s">
        <v>23</v>
      </c>
      <c r="D7" s="10" t="s">
        <v>30</v>
      </c>
      <c r="E7" s="23" t="s">
        <v>32</v>
      </c>
      <c r="F7" s="24" t="s">
        <v>30</v>
      </c>
      <c r="G7" s="20" t="str">
        <f t="array" ref="G7">IF(OR(C7="",F7=""),"",IFERROR(_xlfn.XLOOKUP(1, (INDEX(Emission_Factor_Unit,,1)=C7)*(INDEX(Emission_Factor_Unit,,2)=F7), INDEX(Emission_Factor_Unit,,4)),""))</f>
        <v>m³</v>
      </c>
      <c r="H7" s="18">
        <v>7930.6765826728724</v>
      </c>
      <c r="I7" s="18">
        <v>84322.553207796635</v>
      </c>
      <c r="J7" s="18">
        <v>384299.89507843269</v>
      </c>
      <c r="K7" s="18">
        <v>221206.4122960665</v>
      </c>
      <c r="L7" s="18">
        <v>40348.530573747332</v>
      </c>
      <c r="M7" s="18">
        <v>9488.4700401410319</v>
      </c>
      <c r="N7" s="18">
        <v>57176.396228777987</v>
      </c>
      <c r="O7" s="18">
        <v>17787.75633589827</v>
      </c>
      <c r="P7" s="18">
        <v>29900.143986297961</v>
      </c>
      <c r="Q7" s="18">
        <v>18217.747112745281</v>
      </c>
      <c r="R7" s="18">
        <v>98391.879361985702</v>
      </c>
      <c r="S7" s="18">
        <v>89293.617512907411</v>
      </c>
      <c r="T7" s="18">
        <f t="shared" si="2"/>
        <v>1058364.0783174697</v>
      </c>
      <c r="U7" s="52">
        <v>1.8392250000000001E-3</v>
      </c>
      <c r="V7" s="1">
        <v>162.65136074704699</v>
      </c>
      <c r="W7" s="1">
        <v>558.84729671368996</v>
      </c>
      <c r="X7" s="1">
        <v>1635.78502650631</v>
      </c>
      <c r="Y7" s="1">
        <v>1728.2734107784399</v>
      </c>
      <c r="Z7" s="1">
        <v>1871.4343332645899</v>
      </c>
      <c r="AA7" s="1">
        <v>1080.19264689645</v>
      </c>
      <c r="AB7" s="1">
        <v>1816.0324649855399</v>
      </c>
      <c r="AC7" s="1">
        <v>1977.34898671835</v>
      </c>
      <c r="AD7" s="1">
        <v>1881.3327341776101</v>
      </c>
      <c r="AE7" s="1">
        <v>2016.59067063168</v>
      </c>
      <c r="AF7" s="1">
        <v>1448.02824183692</v>
      </c>
      <c r="AG7" s="1">
        <v>1839.10779050265</v>
      </c>
      <c r="AH7" s="53">
        <v>18015.624963759299</v>
      </c>
    </row>
    <row r="8" spans="1:34" s="16" customFormat="1" ht="21.75" customHeight="1">
      <c r="A8" s="23" t="s">
        <v>28</v>
      </c>
      <c r="B8" s="22">
        <f t="shared" si="1"/>
        <v>44562</v>
      </c>
      <c r="C8" s="11" t="s">
        <v>23</v>
      </c>
      <c r="D8" s="10" t="s">
        <v>30</v>
      </c>
      <c r="E8" s="23" t="s">
        <v>33</v>
      </c>
      <c r="F8" s="24" t="s">
        <v>30</v>
      </c>
      <c r="G8" s="20" t="str">
        <f t="array" ref="G8">IF(OR(C8="",F8=""),"",IFERROR(_xlfn.XLOOKUP(1, (INDEX(Emission_Factor_Unit,,1)=C8)*(INDEX(Emission_Factor_Unit,,2)=F8), INDEX(Emission_Factor_Unit,,4)),""))</f>
        <v>m³</v>
      </c>
      <c r="H8" s="18">
        <v>88434.72698938266</v>
      </c>
      <c r="I8" s="18">
        <v>303849.33692924469</v>
      </c>
      <c r="J8" s="18">
        <v>889388.20780834754</v>
      </c>
      <c r="K8" s="18">
        <v>939674.81454332382</v>
      </c>
      <c r="L8" s="18">
        <v>1017512.448593613</v>
      </c>
      <c r="M8" s="18">
        <v>587308.59296521789</v>
      </c>
      <c r="N8" s="18">
        <v>987390.05014913587</v>
      </c>
      <c r="O8" s="18">
        <v>1075099.015464854</v>
      </c>
      <c r="P8" s="18">
        <v>1022894.281111667</v>
      </c>
      <c r="Q8" s="18">
        <v>1096435.0042173611</v>
      </c>
      <c r="R8" s="18">
        <v>787303.47936599609</v>
      </c>
      <c r="S8" s="18">
        <v>999936.27234441054</v>
      </c>
      <c r="T8" s="18">
        <f t="shared" si="2"/>
        <v>9795226.2304825541</v>
      </c>
      <c r="U8" s="52">
        <v>1.8392250000000001E-3</v>
      </c>
      <c r="V8" s="1">
        <v>65.520636749999994</v>
      </c>
      <c r="W8" s="1">
        <v>73.893329499999993</v>
      </c>
      <c r="X8" s="1">
        <v>195.82783075</v>
      </c>
      <c r="Y8" s="1">
        <v>207.34409149999999</v>
      </c>
      <c r="Z8" s="1">
        <v>269.89234875</v>
      </c>
      <c r="AA8" s="1">
        <v>149.43417214999999</v>
      </c>
      <c r="AB8" s="1">
        <v>270.90435050000002</v>
      </c>
      <c r="AC8" s="1">
        <v>273.4294845</v>
      </c>
      <c r="AD8" s="1">
        <v>263.2162045</v>
      </c>
      <c r="AE8" s="1">
        <v>270.53130049999999</v>
      </c>
      <c r="AF8" s="1">
        <v>192.83783500000001</v>
      </c>
      <c r="AG8" s="1">
        <v>272.72193299999998</v>
      </c>
      <c r="AH8" s="53">
        <v>2505.5535174000001</v>
      </c>
    </row>
    <row r="9" spans="1:34" s="16" customFormat="1" ht="21.75" customHeight="1">
      <c r="A9" s="23" t="s">
        <v>28</v>
      </c>
      <c r="B9" s="22">
        <f t="shared" si="1"/>
        <v>44562</v>
      </c>
      <c r="C9" s="11" t="s">
        <v>23</v>
      </c>
      <c r="D9" s="10" t="s">
        <v>30</v>
      </c>
      <c r="E9" s="23" t="s">
        <v>34</v>
      </c>
      <c r="F9" s="24" t="s">
        <v>30</v>
      </c>
      <c r="G9" s="20" t="str">
        <f t="array" ref="G9">IF(OR(C9="",F9=""),"",IFERROR(_xlfn.XLOOKUP(1, (INDEX(Emission_Factor_Unit,,1)=C9)*(INDEX(Emission_Factor_Unit,,2)=F9), INDEX(Emission_Factor_Unit,,4)),""))</f>
        <v>m³</v>
      </c>
      <c r="H9" s="18">
        <v>35624.046405415327</v>
      </c>
      <c r="I9" s="18">
        <v>40176.340306379047</v>
      </c>
      <c r="J9" s="18">
        <v>106473.01485680111</v>
      </c>
      <c r="K9" s="18">
        <v>112734.48952683881</v>
      </c>
      <c r="L9" s="18">
        <v>146742.43159482931</v>
      </c>
      <c r="M9" s="18">
        <v>81248.445486550045</v>
      </c>
      <c r="N9" s="18">
        <v>147292.66430154009</v>
      </c>
      <c r="O9" s="18">
        <v>148665.59801003139</v>
      </c>
      <c r="P9" s="18">
        <v>143112.56344384179</v>
      </c>
      <c r="Q9" s="18">
        <v>147089.8343052101</v>
      </c>
      <c r="R9" s="18">
        <v>104847.3324362163</v>
      </c>
      <c r="S9" s="18">
        <v>148280.89711699219</v>
      </c>
      <c r="T9" s="18">
        <f t="shared" si="2"/>
        <v>1362287.6577906455</v>
      </c>
      <c r="U9" s="52">
        <v>1.8392250000000001E-3</v>
      </c>
      <c r="V9" s="1">
        <v>2.8343717208510002</v>
      </c>
      <c r="W9" s="1">
        <v>2.7414358705400002</v>
      </c>
      <c r="X9" s="1">
        <v>3.5471384002119999</v>
      </c>
      <c r="Y9" s="1">
        <v>2.7794455144089998</v>
      </c>
      <c r="Z9" s="1">
        <v>2.9288474547229999</v>
      </c>
      <c r="AA9" s="1">
        <v>2.8505128024939999</v>
      </c>
      <c r="AB9" s="1">
        <v>3.1086260908950001</v>
      </c>
      <c r="AC9" s="1">
        <v>2.9949073516600002</v>
      </c>
      <c r="AD9" s="1">
        <v>3.0257161011789999</v>
      </c>
      <c r="AE9" s="1">
        <v>3.0063733911249999</v>
      </c>
      <c r="AF9" s="1">
        <v>3.193574487627</v>
      </c>
      <c r="AG9" s="1">
        <v>3.0551732982200002</v>
      </c>
      <c r="AH9" s="53">
        <v>36.066122483934997</v>
      </c>
    </row>
    <row r="10" spans="1:34" s="16" customFormat="1" ht="21.75" customHeight="1">
      <c r="A10" s="9" t="s">
        <v>35</v>
      </c>
      <c r="B10" s="14">
        <f t="shared" si="1"/>
        <v>44562</v>
      </c>
      <c r="C10" s="11" t="s">
        <v>23</v>
      </c>
      <c r="D10" s="10" t="s">
        <v>30</v>
      </c>
      <c r="E10" s="9" t="s">
        <v>36</v>
      </c>
      <c r="F10" s="21" t="s">
        <v>30</v>
      </c>
      <c r="G10" s="20" t="str">
        <f t="array" ref="G10">IF(OR(C10="",F10=""),"",IFERROR(_xlfn.XLOOKUP(1, (INDEX(Emission_Factor_Unit,,1)=C10)*(INDEX(Emission_Factor_Unit,,2)=F10), INDEX(Emission_Factor_Unit,,4)),""))</f>
        <v>m³</v>
      </c>
      <c r="H10" s="18">
        <v>1541.0685048599271</v>
      </c>
      <c r="I10" s="18">
        <v>1490.5386075874351</v>
      </c>
      <c r="J10" s="18">
        <v>1928.6049288216509</v>
      </c>
      <c r="K10" s="18">
        <v>1511.204727213365</v>
      </c>
      <c r="L10" s="18">
        <v>1592.4356480164199</v>
      </c>
      <c r="M10" s="18">
        <v>1549.844528262719</v>
      </c>
      <c r="N10" s="18">
        <v>1690.1825991355061</v>
      </c>
      <c r="O10" s="18">
        <v>1628.3528941048539</v>
      </c>
      <c r="P10" s="18">
        <v>1645.103835136538</v>
      </c>
      <c r="Q10" s="18">
        <v>1634.587063097229</v>
      </c>
      <c r="R10" s="18">
        <v>1736.369659844228</v>
      </c>
      <c r="S10" s="18">
        <v>1661.1199272628421</v>
      </c>
      <c r="T10" s="18">
        <f t="shared" si="2"/>
        <v>19609.412923342716</v>
      </c>
      <c r="U10" s="52">
        <v>1.8392250000000001E-3</v>
      </c>
      <c r="V10" s="1">
        <v>22.202216658601099</v>
      </c>
      <c r="W10" s="1">
        <v>10.962297579660801</v>
      </c>
      <c r="X10" s="1">
        <v>25.3110772316147</v>
      </c>
      <c r="Y10" s="1">
        <v>26.576631093195299</v>
      </c>
      <c r="Z10" s="1">
        <v>27.8021674413664</v>
      </c>
      <c r="AA10" s="1">
        <v>24.983433840572999</v>
      </c>
      <c r="AB10" s="1">
        <v>29.9230956520788</v>
      </c>
      <c r="AC10" s="1">
        <v>29.362850464343399</v>
      </c>
      <c r="AD10" s="1">
        <v>27.844686049364199</v>
      </c>
      <c r="AE10" s="1">
        <v>28.745080101081701</v>
      </c>
      <c r="AF10" s="1">
        <v>26.223976756272702</v>
      </c>
      <c r="AG10" s="1">
        <v>32.754334725812797</v>
      </c>
      <c r="AH10" s="53">
        <v>312.69184759396501</v>
      </c>
    </row>
    <row r="11" spans="1:34" s="16" customFormat="1" ht="21.75" customHeight="1">
      <c r="A11" s="9" t="s">
        <v>35</v>
      </c>
      <c r="B11" s="14">
        <f t="shared" si="1"/>
        <v>44562</v>
      </c>
      <c r="C11" s="11" t="s">
        <v>23</v>
      </c>
      <c r="D11" s="10" t="s">
        <v>30</v>
      </c>
      <c r="E11" s="9" t="s">
        <v>36</v>
      </c>
      <c r="F11" s="21" t="s">
        <v>30</v>
      </c>
      <c r="G11" s="20" t="str">
        <f t="array" ref="G11">IF(OR(C11="",F11=""),"",IFERROR(_xlfn.XLOOKUP(1, (INDEX(Emission_Factor_Unit,,1)=C11)*(INDEX(Emission_Factor_Unit,,2)=F11), INDEX(Emission_Factor_Unit,,4)),""))</f>
        <v>m³</v>
      </c>
      <c r="H11" s="18">
        <v>12071.50656314538</v>
      </c>
      <c r="I11" s="18">
        <v>5960.280868116065</v>
      </c>
      <c r="J11" s="18">
        <v>13761.81665191299</v>
      </c>
      <c r="K11" s="18">
        <v>14449.907484508611</v>
      </c>
      <c r="L11" s="18">
        <v>15116.24050421587</v>
      </c>
      <c r="M11" s="18">
        <v>13583.674558889221</v>
      </c>
      <c r="N11" s="18">
        <v>16269.404587301069</v>
      </c>
      <c r="O11" s="18">
        <v>15964.795206863449</v>
      </c>
      <c r="P11" s="18">
        <v>15139.35818040979</v>
      </c>
      <c r="Q11" s="18">
        <v>15628.90897039877</v>
      </c>
      <c r="R11" s="18">
        <v>14258.166758429579</v>
      </c>
      <c r="S11" s="18">
        <v>17808.76984915536</v>
      </c>
      <c r="T11" s="18">
        <f t="shared" si="2"/>
        <v>170012.83018334617</v>
      </c>
      <c r="U11" s="52">
        <v>1.311E-2</v>
      </c>
      <c r="V11" s="1">
        <v>190.347954225</v>
      </c>
      <c r="W11" s="1">
        <v>45.102346025000003</v>
      </c>
      <c r="X11" s="1">
        <v>481.46836089999999</v>
      </c>
      <c r="Y11" s="1">
        <v>481.23481087499999</v>
      </c>
      <c r="Z11" s="1">
        <v>476.239215425</v>
      </c>
      <c r="AA11" s="1">
        <v>514.97169125000005</v>
      </c>
      <c r="AB11" s="1">
        <v>532.14096517500002</v>
      </c>
      <c r="AC11" s="1">
        <v>569.29525297500004</v>
      </c>
      <c r="AD11" s="1">
        <v>455.66057537500001</v>
      </c>
      <c r="AE11" s="1">
        <v>553.21049757499998</v>
      </c>
      <c r="AF11" s="1">
        <v>447.84146809999999</v>
      </c>
      <c r="AG11" s="1">
        <v>447.63278807500001</v>
      </c>
      <c r="AH11" s="53">
        <v>5195.145925975</v>
      </c>
    </row>
    <row r="12" spans="1:34" s="16" customFormat="1" ht="21.75" customHeight="1">
      <c r="A12" s="23" t="s">
        <v>35</v>
      </c>
      <c r="B12" s="22">
        <f t="shared" si="1"/>
        <v>44562</v>
      </c>
      <c r="C12" s="11" t="s">
        <v>23</v>
      </c>
      <c r="D12" s="10" t="s">
        <v>34</v>
      </c>
      <c r="E12" s="9" t="s">
        <v>34</v>
      </c>
      <c r="F12" s="21" t="s">
        <v>34</v>
      </c>
      <c r="G12" s="20" t="str">
        <f t="array" ref="G12">IF(OR(C12="",F12=""),"",IFERROR(_xlfn.XLOOKUP(1, (INDEX(Emission_Factor_Unit,,1)=C12)*(INDEX(Emission_Factor_Unit,,2)=F12), INDEX(Emission_Factor_Unit,,4)),""))</f>
        <v>m³</v>
      </c>
      <c r="H12" s="18">
        <v>14519.29475400457</v>
      </c>
      <c r="I12" s="18">
        <v>3440.3009935164</v>
      </c>
      <c r="J12" s="18">
        <v>36725.275430968723</v>
      </c>
      <c r="K12" s="18">
        <v>36707.46078375286</v>
      </c>
      <c r="L12" s="18">
        <v>36326.408499237223</v>
      </c>
      <c r="M12" s="18">
        <v>39280.83075896262</v>
      </c>
      <c r="N12" s="18">
        <v>40590.462637299774</v>
      </c>
      <c r="O12" s="18">
        <v>43424.504422196791</v>
      </c>
      <c r="P12" s="18">
        <v>34756.71818268497</v>
      </c>
      <c r="Q12" s="18">
        <v>42197.597069031282</v>
      </c>
      <c r="R12" s="18">
        <v>34160.295049580469</v>
      </c>
      <c r="S12" s="18">
        <v>34144.37742753623</v>
      </c>
      <c r="T12" s="18">
        <f t="shared" si="2"/>
        <v>396273.52600877191</v>
      </c>
      <c r="U12" s="52">
        <v>1.8392250000000001E-3</v>
      </c>
      <c r="V12" s="1">
        <v>612.65130937170102</v>
      </c>
      <c r="W12" s="1">
        <v>1273.32998338926</v>
      </c>
      <c r="X12" s="1">
        <v>1310.53696685912</v>
      </c>
      <c r="Y12" s="1">
        <v>1314.1952322243801</v>
      </c>
      <c r="Z12" s="1">
        <v>1513.0954289634001</v>
      </c>
      <c r="AA12" s="1">
        <v>1627.92576643029</v>
      </c>
      <c r="AB12" s="1">
        <v>1526.70419664567</v>
      </c>
      <c r="AC12" s="1">
        <v>1704.6027670906601</v>
      </c>
      <c r="AD12" s="1">
        <v>1642.09983442884</v>
      </c>
      <c r="AE12" s="1">
        <v>1559.83005731093</v>
      </c>
      <c r="AF12" s="1">
        <v>1440.9746457460799</v>
      </c>
      <c r="AG12" s="1">
        <v>1601.0029876468</v>
      </c>
      <c r="AH12" s="53">
        <v>17126.9491761071</v>
      </c>
    </row>
    <row r="13" spans="1:34" s="16" customFormat="1" ht="21.75" customHeight="1">
      <c r="A13" s="9" t="s">
        <v>37</v>
      </c>
      <c r="B13" s="14">
        <f t="shared" si="1"/>
        <v>44562</v>
      </c>
      <c r="C13" s="11" t="s">
        <v>23</v>
      </c>
      <c r="D13" s="10" t="s">
        <v>30</v>
      </c>
      <c r="E13" s="9" t="s">
        <v>38</v>
      </c>
      <c r="F13" s="21" t="s">
        <v>30</v>
      </c>
      <c r="G13" s="20" t="str">
        <f t="array" ref="G13">IF(OR(C13="",F13=""),"",IFERROR(_xlfn.XLOOKUP(1, (INDEX(Emission_Factor_Unit,,1)=C13)*(INDEX(Emission_Factor_Unit,,2)=F13), INDEX(Emission_Factor_Unit,,4)),""))</f>
        <v>m³</v>
      </c>
      <c r="H13" s="18">
        <v>333102.96965934068</v>
      </c>
      <c r="I13" s="18">
        <v>692318.76653985144</v>
      </c>
      <c r="J13" s="18">
        <v>712548.47387302574</v>
      </c>
      <c r="K13" s="18">
        <v>714537.49934041768</v>
      </c>
      <c r="L13" s="18">
        <v>822680.98191542656</v>
      </c>
      <c r="M13" s="18">
        <v>885115.0709838589</v>
      </c>
      <c r="N13" s="18">
        <v>830080.16781289235</v>
      </c>
      <c r="O13" s="18">
        <v>926804.91353187594</v>
      </c>
      <c r="P13" s="18">
        <v>892821.61477189697</v>
      </c>
      <c r="Q13" s="18">
        <v>848090.93901557988</v>
      </c>
      <c r="R13" s="18">
        <v>783468.3879058169</v>
      </c>
      <c r="S13" s="18">
        <v>870476.9604843331</v>
      </c>
      <c r="T13" s="18">
        <f t="shared" si="2"/>
        <v>9312046.7458343171</v>
      </c>
      <c r="U13" s="52">
        <v>1.8392250000000001E-3</v>
      </c>
      <c r="V13" s="1">
        <v>422.01140741346899</v>
      </c>
      <c r="W13" s="1">
        <v>503.529261957941</v>
      </c>
      <c r="X13" s="1">
        <v>544.15552747552294</v>
      </c>
      <c r="Y13" s="1">
        <v>495.771058294032</v>
      </c>
      <c r="Z13" s="1">
        <v>399.51286116192398</v>
      </c>
      <c r="AA13" s="1">
        <v>361.55188334788801</v>
      </c>
      <c r="AB13" s="1">
        <v>395.61963072853899</v>
      </c>
      <c r="AC13" s="1">
        <v>320.95302091116702</v>
      </c>
      <c r="AD13" s="1">
        <v>495.002989084798</v>
      </c>
      <c r="AE13" s="1">
        <v>361.81879647314298</v>
      </c>
      <c r="AF13" s="1">
        <v>347.712164958892</v>
      </c>
      <c r="AG13" s="1">
        <v>338.91886033243799</v>
      </c>
      <c r="AH13" s="53">
        <v>4986.55746213975</v>
      </c>
    </row>
    <row r="14" spans="1:34" s="16" customFormat="1" ht="21.75" customHeight="1">
      <c r="A14" s="23" t="s">
        <v>37</v>
      </c>
      <c r="B14" s="22">
        <f t="shared" si="1"/>
        <v>44562</v>
      </c>
      <c r="C14" s="11" t="s">
        <v>23</v>
      </c>
      <c r="D14" s="10" t="s">
        <v>30</v>
      </c>
      <c r="E14" s="9" t="s">
        <v>39</v>
      </c>
      <c r="F14" s="21" t="s">
        <v>30</v>
      </c>
      <c r="G14" s="20" t="str">
        <f t="array" ref="G14">IF(OR(C14="",F14=""),"",IFERROR(_xlfn.XLOOKUP(1, (INDEX(Emission_Factor_Unit,,1)=C14)*(INDEX(Emission_Factor_Unit,,2)=F14), INDEX(Emission_Factor_Unit,,4)),""))</f>
        <v>m³</v>
      </c>
      <c r="H14" s="18">
        <v>229450.66939252641</v>
      </c>
      <c r="I14" s="18">
        <v>273772.51938068529</v>
      </c>
      <c r="J14" s="18">
        <v>295861.31521457288</v>
      </c>
      <c r="K14" s="18">
        <v>269554.32766194007</v>
      </c>
      <c r="L14" s="18">
        <v>217218.04627597181</v>
      </c>
      <c r="M14" s="18">
        <v>196578.38673783161</v>
      </c>
      <c r="N14" s="18">
        <v>215101.2685933146</v>
      </c>
      <c r="O14" s="18">
        <v>174504.4901581736</v>
      </c>
      <c r="P14" s="18">
        <v>269136.72285054729</v>
      </c>
      <c r="Q14" s="18">
        <v>196723.5093439591</v>
      </c>
      <c r="R14" s="18">
        <v>189053.6312625655</v>
      </c>
      <c r="S14" s="18">
        <v>184272.64762736371</v>
      </c>
      <c r="T14" s="18">
        <f t="shared" si="2"/>
        <v>2711227.5344994515</v>
      </c>
      <c r="U14" s="52">
        <v>1.311E-2</v>
      </c>
      <c r="V14" s="1">
        <v>5975.21</v>
      </c>
      <c r="W14" s="1">
        <v>4496.51</v>
      </c>
      <c r="X14" s="1">
        <v>8772.27</v>
      </c>
      <c r="Y14" s="1">
        <v>7840.45</v>
      </c>
      <c r="Z14" s="1">
        <v>7671.29</v>
      </c>
      <c r="AA14" s="1">
        <v>7898.99</v>
      </c>
      <c r="AB14" s="1">
        <v>8801</v>
      </c>
      <c r="AC14" s="1">
        <v>8484.5499999999993</v>
      </c>
      <c r="AD14" s="1">
        <v>7750.7</v>
      </c>
      <c r="AE14" s="1">
        <v>8344.7550539999993</v>
      </c>
      <c r="AF14" s="1">
        <v>7875.0637200000001</v>
      </c>
      <c r="AG14" s="1">
        <v>7737.36</v>
      </c>
      <c r="AH14" s="53">
        <v>91648.148774000001</v>
      </c>
    </row>
    <row r="15" spans="1:34" s="16" customFormat="1" ht="21.75" customHeight="1">
      <c r="A15" s="9" t="s">
        <v>37</v>
      </c>
      <c r="B15" s="14">
        <f t="shared" si="1"/>
        <v>44562</v>
      </c>
      <c r="C15" s="11" t="s">
        <v>23</v>
      </c>
      <c r="D15" s="10" t="s">
        <v>41</v>
      </c>
      <c r="E15" s="9" t="s">
        <v>40</v>
      </c>
      <c r="F15" s="21" t="s">
        <v>41</v>
      </c>
      <c r="G15" s="20" t="str">
        <f t="array" ref="G15">IF(OR(C15="",F15=""),"",IFERROR(_xlfn.XLOOKUP(1, (INDEX(Emission_Factor_Unit,,1)=C15)*(INDEX(Emission_Factor_Unit,,2)=F15), INDEX(Emission_Factor_Unit,,4)),""))</f>
        <v>m³</v>
      </c>
      <c r="H15" s="18">
        <v>455774.98093058728</v>
      </c>
      <c r="I15" s="18">
        <v>342983.21891685732</v>
      </c>
      <c r="J15" s="18">
        <v>669128.1464530892</v>
      </c>
      <c r="K15" s="18">
        <v>598051.10602593434</v>
      </c>
      <c r="L15" s="18">
        <v>585147.97864225775</v>
      </c>
      <c r="M15" s="18">
        <v>602516.39969488932</v>
      </c>
      <c r="N15" s="18">
        <v>671319.60335621657</v>
      </c>
      <c r="O15" s="18">
        <v>647181.54080854298</v>
      </c>
      <c r="P15" s="18">
        <v>591205.18688024394</v>
      </c>
      <c r="Q15" s="18">
        <v>636518.31075514865</v>
      </c>
      <c r="R15" s="18">
        <v>600691.35926773446</v>
      </c>
      <c r="S15" s="18">
        <v>590187.64302059484</v>
      </c>
      <c r="T15" s="18">
        <f t="shared" si="2"/>
        <v>6990705.4747520965</v>
      </c>
      <c r="U15" s="52">
        <v>1.311E-2</v>
      </c>
      <c r="V15" s="1">
        <v>1165.78404</v>
      </c>
      <c r="W15" s="1">
        <v>786.22125249999999</v>
      </c>
      <c r="X15" s="1">
        <v>1941.8210875</v>
      </c>
      <c r="Y15" s="1">
        <v>1835.9515375000001</v>
      </c>
      <c r="Z15" s="1">
        <v>1876.1271925000001</v>
      </c>
      <c r="AA15" s="1">
        <v>1834.6157499999999</v>
      </c>
      <c r="AB15" s="1">
        <v>2063.8686575000002</v>
      </c>
      <c r="AC15" s="1">
        <v>2031.6392599999999</v>
      </c>
      <c r="AD15" s="1">
        <v>1745.5010474999999</v>
      </c>
      <c r="AE15" s="1">
        <v>1978.5317500000001</v>
      </c>
      <c r="AF15" s="1">
        <v>1854.9362775</v>
      </c>
      <c r="AG15" s="1">
        <v>1777.9488249999999</v>
      </c>
      <c r="AH15" s="53">
        <v>20892.9466775</v>
      </c>
    </row>
    <row r="16" spans="1:34" s="16" customFormat="1" ht="21.75" customHeight="1">
      <c r="A16" s="9" t="s">
        <v>37</v>
      </c>
      <c r="B16" s="14">
        <f t="shared" si="1"/>
        <v>44562</v>
      </c>
      <c r="C16" s="11" t="s">
        <v>23</v>
      </c>
      <c r="D16" s="10" t="s">
        <v>34</v>
      </c>
      <c r="E16" s="9" t="s">
        <v>34</v>
      </c>
      <c r="F16" s="21" t="s">
        <v>34</v>
      </c>
      <c r="G16" s="20" t="str">
        <f t="array" ref="G16">IF(OR(C16="",F16=""),"",IFERROR(_xlfn.XLOOKUP(1, (INDEX(Emission_Factor_Unit,,1)=C16)*(INDEX(Emission_Factor_Unit,,2)=F16), INDEX(Emission_Factor_Unit,,4)),""))</f>
        <v>m³</v>
      </c>
      <c r="H16" s="18">
        <v>88923.267734553752</v>
      </c>
      <c r="I16" s="18">
        <v>59971.110030511052</v>
      </c>
      <c r="J16" s="18">
        <v>148117.55053394349</v>
      </c>
      <c r="K16" s="18">
        <v>140042.06998474439</v>
      </c>
      <c r="L16" s="18">
        <v>143106.57456140351</v>
      </c>
      <c r="M16" s="18">
        <v>139940.17925247899</v>
      </c>
      <c r="N16" s="18">
        <v>157427.05244088481</v>
      </c>
      <c r="O16" s="18">
        <v>154968.66971777269</v>
      </c>
      <c r="P16" s="18">
        <v>133142.7191075515</v>
      </c>
      <c r="Q16" s="18">
        <v>150917.75362318839</v>
      </c>
      <c r="R16" s="18">
        <v>141490.18135011441</v>
      </c>
      <c r="S16" s="18">
        <v>135617.75934401219</v>
      </c>
      <c r="T16" s="18">
        <f t="shared" si="2"/>
        <v>1593664.8876811594</v>
      </c>
      <c r="U16" s="52">
        <v>1.8392250000000001E-3</v>
      </c>
      <c r="V16" s="1">
        <v>8.4489759270505491</v>
      </c>
      <c r="W16" s="1">
        <v>7.5750976781313302</v>
      </c>
      <c r="X16" s="1">
        <v>8.3865560521277391</v>
      </c>
      <c r="Y16" s="1">
        <v>8.1747743336396699</v>
      </c>
      <c r="Z16" s="1">
        <v>8.4378295208143292</v>
      </c>
      <c r="AA16" s="1">
        <v>8.1658572086506993</v>
      </c>
      <c r="AB16" s="1">
        <v>8.4356002395670906</v>
      </c>
      <c r="AC16" s="1">
        <v>8.4445173645560594</v>
      </c>
      <c r="AD16" s="1">
        <v>8.1613986461562096</v>
      </c>
      <c r="AE16" s="1">
        <v>7.4725507407581597</v>
      </c>
      <c r="AF16" s="1">
        <v>7.1715977723803697</v>
      </c>
      <c r="AG16" s="1">
        <v>7.4212772720715696</v>
      </c>
      <c r="AH16" s="53">
        <v>96.296032755903795</v>
      </c>
    </row>
    <row r="17" spans="1:34" s="16" customFormat="1" ht="21.75" customHeight="1">
      <c r="A17" s="9" t="s">
        <v>42</v>
      </c>
      <c r="B17" s="14">
        <f t="shared" si="1"/>
        <v>44562</v>
      </c>
      <c r="C17" s="11" t="s">
        <v>23</v>
      </c>
      <c r="D17" s="10" t="s">
        <v>30</v>
      </c>
      <c r="E17" s="9" t="s">
        <v>43</v>
      </c>
      <c r="F17" s="21" t="s">
        <v>30</v>
      </c>
      <c r="G17" s="20" t="str">
        <f t="array" ref="G17">IF(OR(C17="",F17=""),"",IFERROR(_xlfn.XLOOKUP(1, (INDEX(Emission_Factor_Unit,,1)=C17)*(INDEX(Emission_Factor_Unit,,2)=F17), INDEX(Emission_Factor_Unit,,4)),""))</f>
        <v>m³</v>
      </c>
      <c r="H17" s="18">
        <v>4593.7696187527627</v>
      </c>
      <c r="I17" s="18">
        <v>4118.6356634622352</v>
      </c>
      <c r="J17" s="18">
        <v>4559.8314790891491</v>
      </c>
      <c r="K17" s="18">
        <v>4444.6842195161926</v>
      </c>
      <c r="L17" s="18">
        <v>4587.7092366699726</v>
      </c>
      <c r="M17" s="18">
        <v>4439.8359138499636</v>
      </c>
      <c r="N17" s="18">
        <v>4586.497160253417</v>
      </c>
      <c r="O17" s="18">
        <v>4591.3454659196468</v>
      </c>
      <c r="P17" s="18">
        <v>4437.4117610168469</v>
      </c>
      <c r="Q17" s="18">
        <v>4062.8801483005941</v>
      </c>
      <c r="R17" s="18">
        <v>3899.2498320653372</v>
      </c>
      <c r="S17" s="18">
        <v>4035.002390719771</v>
      </c>
      <c r="T17" s="18">
        <f t="shared" si="2"/>
        <v>52356.85288961589</v>
      </c>
      <c r="U17" s="52">
        <v>1.8392250000000001E-3</v>
      </c>
      <c r="V17" s="1">
        <v>9.5123430819853994</v>
      </c>
      <c r="W17" s="1">
        <v>8.6362355518189506</v>
      </c>
      <c r="X17" s="1">
        <v>9.5747629569082005</v>
      </c>
      <c r="Y17" s="1">
        <v>9.2760392697776606</v>
      </c>
      <c r="Z17" s="1">
        <v>9.5992850506278806</v>
      </c>
      <c r="AA17" s="1">
        <v>9.2871856760138698</v>
      </c>
      <c r="AB17" s="1">
        <v>9.5992850506278806</v>
      </c>
      <c r="AC17" s="1">
        <v>9.6015143318751193</v>
      </c>
      <c r="AD17" s="1">
        <v>9.2804978322721396</v>
      </c>
      <c r="AE17" s="1">
        <v>9.5859093631444203</v>
      </c>
      <c r="AF17" s="1">
        <v>9.2648928635414407</v>
      </c>
      <c r="AG17" s="1">
        <v>9.5703043944137196</v>
      </c>
      <c r="AH17" s="53">
        <v>112.788255423007</v>
      </c>
    </row>
    <row r="18" spans="1:34" s="16" customFormat="1" ht="21.75" customHeight="1">
      <c r="A18" s="9" t="s">
        <v>42</v>
      </c>
      <c r="B18" s="14">
        <f t="shared" si="1"/>
        <v>44562</v>
      </c>
      <c r="C18" s="11" t="s">
        <v>23</v>
      </c>
      <c r="D18" s="10" t="s">
        <v>30</v>
      </c>
      <c r="E18" s="9" t="s">
        <v>44</v>
      </c>
      <c r="F18" s="21" t="s">
        <v>30</v>
      </c>
      <c r="G18" s="20" t="str">
        <f t="array" ref="G18">IF(OR(C18="",F18=""),"",IFERROR(_xlfn.XLOOKUP(1, (INDEX(Emission_Factor_Unit,,1)=C18)*(INDEX(Emission_Factor_Unit,,2)=F18), INDEX(Emission_Factor_Unit,,4)),""))</f>
        <v>m³</v>
      </c>
      <c r="H18" s="18">
        <v>5171.9300694506665</v>
      </c>
      <c r="I18" s="18">
        <v>4695.584037743587</v>
      </c>
      <c r="J18" s="18">
        <v>5205.8682091142746</v>
      </c>
      <c r="K18" s="18">
        <v>5043.4499692955787</v>
      </c>
      <c r="L18" s="18">
        <v>5219.2010496964112</v>
      </c>
      <c r="M18" s="18">
        <v>5049.5103513783633</v>
      </c>
      <c r="N18" s="18">
        <v>5219.2010496964112</v>
      </c>
      <c r="O18" s="18">
        <v>5220.413126112966</v>
      </c>
      <c r="P18" s="18">
        <v>5045.8741221286909</v>
      </c>
      <c r="Q18" s="18">
        <v>5211.9285911970646</v>
      </c>
      <c r="R18" s="18">
        <v>5037.3895872127878</v>
      </c>
      <c r="S18" s="18">
        <v>5203.4440562811633</v>
      </c>
      <c r="T18" s="18">
        <f t="shared" si="2"/>
        <v>61323.794219307973</v>
      </c>
      <c r="U18" s="52">
        <v>1.8392250000000001E-3</v>
      </c>
      <c r="V18" s="1">
        <v>17.305910322346499</v>
      </c>
      <c r="W18" s="1">
        <v>15.691910699342699</v>
      </c>
      <c r="X18" s="1">
        <v>17.4329793534394</v>
      </c>
      <c r="Y18" s="1">
        <v>16.911327541584502</v>
      </c>
      <c r="Z18" s="1">
        <v>17.484252822125999</v>
      </c>
      <c r="AA18" s="1">
        <v>16.8934932916066</v>
      </c>
      <c r="AB18" s="1">
        <v>17.466418572148001</v>
      </c>
      <c r="AC18" s="1">
        <v>17.473106415889799</v>
      </c>
      <c r="AD18" s="1">
        <v>16.889034729112101</v>
      </c>
      <c r="AE18" s="1">
        <v>17.495399228362199</v>
      </c>
      <c r="AF18" s="1">
        <v>16.922473947820801</v>
      </c>
      <c r="AG18" s="1">
        <v>17.502087072103901</v>
      </c>
      <c r="AH18" s="53">
        <v>205.46839399588299</v>
      </c>
    </row>
    <row r="19" spans="1:34" s="16" customFormat="1" ht="21.75" customHeight="1">
      <c r="A19" s="9" t="s">
        <v>42</v>
      </c>
      <c r="B19" s="14">
        <f t="shared" si="1"/>
        <v>44562</v>
      </c>
      <c r="C19" s="11" t="s">
        <v>23</v>
      </c>
      <c r="D19" s="10" t="s">
        <v>30</v>
      </c>
      <c r="E19" s="9" t="s">
        <v>45</v>
      </c>
      <c r="F19" s="21" t="s">
        <v>30</v>
      </c>
      <c r="G19" s="20" t="str">
        <f t="array" ref="G19">IF(OR(C19="",F19=""),"",IFERROR(_xlfn.XLOOKUP(1, (INDEX(Emission_Factor_Unit,,1)=C19)*(INDEX(Emission_Factor_Unit,,2)=F19), INDEX(Emission_Factor_Unit,,4)),""))</f>
        <v>m³</v>
      </c>
      <c r="H19" s="18">
        <v>9409.349221735516</v>
      </c>
      <c r="I19" s="18">
        <v>8531.8058961479437</v>
      </c>
      <c r="J19" s="18">
        <v>9478.4375774793189</v>
      </c>
      <c r="K19" s="18">
        <v>9194.811696004841</v>
      </c>
      <c r="L19" s="18">
        <v>9506.3153350601478</v>
      </c>
      <c r="M19" s="18">
        <v>9185.1150846724031</v>
      </c>
      <c r="N19" s="18">
        <v>9496.618723727659</v>
      </c>
      <c r="O19" s="18">
        <v>9500.2549529773696</v>
      </c>
      <c r="P19" s="18">
        <v>9182.6909318392809</v>
      </c>
      <c r="Q19" s="18">
        <v>9512.3757171429279</v>
      </c>
      <c r="R19" s="18">
        <v>9200.872078087672</v>
      </c>
      <c r="S19" s="18">
        <v>9516.0119463925857</v>
      </c>
      <c r="T19" s="18">
        <f t="shared" si="2"/>
        <v>111714.65916126769</v>
      </c>
      <c r="U19" s="52">
        <v>5.0351584999999997E-2</v>
      </c>
      <c r="V19" s="1">
        <v>2035.68005145077</v>
      </c>
      <c r="W19" s="1">
        <v>1596.88501344414</v>
      </c>
      <c r="X19" s="1">
        <v>2035.36644607263</v>
      </c>
      <c r="Y19" s="1">
        <v>2269.7607687989298</v>
      </c>
      <c r="Z19" s="1">
        <v>2013.00245119888</v>
      </c>
      <c r="AA19" s="1">
        <v>2108.1272986731201</v>
      </c>
      <c r="AB19" s="1">
        <v>2190.07796667199</v>
      </c>
      <c r="AC19" s="1">
        <v>2217.4691325860399</v>
      </c>
      <c r="AD19" s="1">
        <v>2047.38221325215</v>
      </c>
      <c r="AE19" s="1">
        <v>2264.0314050686702</v>
      </c>
      <c r="AF19" s="1">
        <v>2141.34196877358</v>
      </c>
      <c r="AG19" s="1">
        <v>2185.0829960155702</v>
      </c>
      <c r="AH19" s="53">
        <v>25104.207712006501</v>
      </c>
    </row>
    <row r="20" spans="1:34" s="16" customFormat="1" ht="21.75" customHeight="1">
      <c r="A20" s="9" t="s">
        <v>42</v>
      </c>
      <c r="B20" s="14">
        <f t="shared" si="1"/>
        <v>44562</v>
      </c>
      <c r="C20" s="11" t="s">
        <v>23</v>
      </c>
      <c r="D20" s="10" t="s">
        <v>25</v>
      </c>
      <c r="E20" s="9" t="s">
        <v>46</v>
      </c>
      <c r="F20" s="21" t="s">
        <v>26</v>
      </c>
      <c r="G20" s="20" t="str">
        <f t="array" ref="G20">IF(OR(C20="",F20=""),"",IFERROR(_xlfn.XLOOKUP(1, (INDEX(Emission_Factor_Unit,,1)=C20)*(INDEX(Emission_Factor_Unit,,2)=F20), INDEX(Emission_Factor_Unit,,4)),""))</f>
        <v>GJ</v>
      </c>
      <c r="H20" s="18">
        <v>40429.314220213128</v>
      </c>
      <c r="I20" s="18">
        <v>31714.692068663651</v>
      </c>
      <c r="J20" s="18">
        <v>40423.085908271452</v>
      </c>
      <c r="K20" s="18">
        <v>45078.238724737777</v>
      </c>
      <c r="L20" s="18">
        <v>39978.92918760905</v>
      </c>
      <c r="M20" s="18">
        <v>41868.141761041239</v>
      </c>
      <c r="N20" s="18">
        <v>43495.710545596317</v>
      </c>
      <c r="O20" s="18">
        <v>44039.708632529357</v>
      </c>
      <c r="P20" s="18">
        <v>40661.723225835878</v>
      </c>
      <c r="Q20" s="18">
        <v>44964.451567287797</v>
      </c>
      <c r="R20" s="18">
        <v>42527.796667643728</v>
      </c>
      <c r="S20" s="18">
        <v>43396.5086901549</v>
      </c>
      <c r="T20" s="18">
        <f t="shared" si="2"/>
        <v>498578.30119958427</v>
      </c>
      <c r="U20" s="52">
        <v>5.0351584999999997E-2</v>
      </c>
      <c r="V20" s="1">
        <v>1903.63745202165</v>
      </c>
      <c r="W20" s="1">
        <v>1809.58242391368</v>
      </c>
      <c r="X20" s="1">
        <v>2208.46235311791</v>
      </c>
      <c r="Y20" s="1">
        <v>2176.8432695220799</v>
      </c>
      <c r="Z20" s="1">
        <v>1919.8181234353201</v>
      </c>
      <c r="AA20" s="1">
        <v>1808.8362219569899</v>
      </c>
      <c r="AB20" s="1">
        <v>0</v>
      </c>
      <c r="AC20" s="1">
        <v>1327.59625570244</v>
      </c>
      <c r="AD20" s="1">
        <v>2206.9699763897002</v>
      </c>
      <c r="AE20" s="1">
        <v>2370.3206594272101</v>
      </c>
      <c r="AF20" s="1">
        <v>2056.7719632272001</v>
      </c>
      <c r="AG20" s="1">
        <v>2480.4133597441501</v>
      </c>
      <c r="AH20" s="53">
        <v>22269.2520584583</v>
      </c>
    </row>
    <row r="21" spans="1:34" s="16" customFormat="1" ht="21.75" customHeight="1">
      <c r="A21" s="9" t="s">
        <v>42</v>
      </c>
      <c r="B21" s="14">
        <f t="shared" si="1"/>
        <v>44562</v>
      </c>
      <c r="C21" s="11" t="s">
        <v>23</v>
      </c>
      <c r="D21" s="10" t="s">
        <v>25</v>
      </c>
      <c r="E21" s="9" t="s">
        <v>46</v>
      </c>
      <c r="F21" s="21" t="s">
        <v>26</v>
      </c>
      <c r="G21" s="20" t="str">
        <f t="array" ref="G21">IF(OR(C21="",F21=""),"",IFERROR(_xlfn.XLOOKUP(1, (INDEX(Emission_Factor_Unit,,1)=C21)*(INDEX(Emission_Factor_Unit,,2)=F21), INDEX(Emission_Factor_Unit,,4)),""))</f>
        <v>GJ</v>
      </c>
      <c r="H21" s="18">
        <v>37806.902245910424</v>
      </c>
      <c r="I21" s="18">
        <v>35938.936657379862</v>
      </c>
      <c r="J21" s="18">
        <v>43860.830858013949</v>
      </c>
      <c r="K21" s="18">
        <v>43232.864854643209</v>
      </c>
      <c r="L21" s="18">
        <v>38128.256010914498</v>
      </c>
      <c r="M21" s="18">
        <v>35924.116826848483</v>
      </c>
      <c r="N21" s="18">
        <v>0</v>
      </c>
      <c r="O21" s="18">
        <v>26366.523629840922</v>
      </c>
      <c r="P21" s="18">
        <v>43831.191736857952</v>
      </c>
      <c r="Q21" s="18">
        <v>47075.39314655558</v>
      </c>
      <c r="R21" s="18">
        <v>40848.20692788915</v>
      </c>
      <c r="S21" s="18">
        <v>49261.872486122353</v>
      </c>
      <c r="T21" s="18">
        <f t="shared" si="2"/>
        <v>442275.09538097633</v>
      </c>
      <c r="U21" s="52">
        <v>5.0351584999999997E-2</v>
      </c>
      <c r="V21" s="1">
        <v>2043.4597331232501</v>
      </c>
      <c r="W21" s="1">
        <v>1871.8795224120499</v>
      </c>
      <c r="X21" s="1">
        <v>984.08685486981301</v>
      </c>
      <c r="Y21" s="1">
        <v>815.56400987969801</v>
      </c>
      <c r="Z21" s="1">
        <v>2325.69370639716</v>
      </c>
      <c r="AA21" s="1">
        <v>2274.7364379915398</v>
      </c>
      <c r="AB21" s="1">
        <v>2335.1379766496202</v>
      </c>
      <c r="AC21" s="1">
        <v>2286.4863799044701</v>
      </c>
      <c r="AD21" s="1">
        <v>1515.5431097548901</v>
      </c>
      <c r="AE21" s="1">
        <v>1497.74650856731</v>
      </c>
      <c r="AF21" s="1">
        <v>2205.78152887645</v>
      </c>
      <c r="AG21" s="1">
        <v>2290.1756210045501</v>
      </c>
      <c r="AH21" s="53">
        <v>22446.2913894308</v>
      </c>
    </row>
    <row r="22" spans="1:34" s="16" customFormat="1" ht="21.75" customHeight="1">
      <c r="A22" s="9" t="s">
        <v>42</v>
      </c>
      <c r="B22" s="14">
        <f t="shared" si="1"/>
        <v>44562</v>
      </c>
      <c r="C22" s="11" t="s">
        <v>23</v>
      </c>
      <c r="D22" s="10" t="s">
        <v>25</v>
      </c>
      <c r="E22" s="9" t="s">
        <v>46</v>
      </c>
      <c r="F22" s="21" t="s">
        <v>26</v>
      </c>
      <c r="G22" s="20" t="str">
        <f t="array" ref="G22">IF(OR(C22="",F22=""),"",IFERROR(_xlfn.XLOOKUP(1, (INDEX(Emission_Factor_Unit,,1)=C22)*(INDEX(Emission_Factor_Unit,,2)=F22), INDEX(Emission_Factor_Unit,,4)),""))</f>
        <v>GJ</v>
      </c>
      <c r="H22" s="18">
        <v>40583.82140548795</v>
      </c>
      <c r="I22" s="18">
        <v>37176.178712389054</v>
      </c>
      <c r="J22" s="18">
        <v>19544.307391114169</v>
      </c>
      <c r="K22" s="18">
        <v>16197.385045171821</v>
      </c>
      <c r="L22" s="18">
        <v>46189.086329599428</v>
      </c>
      <c r="M22" s="18">
        <v>45177.057246391429</v>
      </c>
      <c r="N22" s="18">
        <v>46376.652823334589</v>
      </c>
      <c r="O22" s="18">
        <v>45410.415181656594</v>
      </c>
      <c r="P22" s="18">
        <v>30099.213555142051</v>
      </c>
      <c r="Q22" s="18">
        <v>29745.76686249912</v>
      </c>
      <c r="R22" s="18">
        <v>43807.588755675672</v>
      </c>
      <c r="S22" s="18">
        <v>45483.684793726949</v>
      </c>
      <c r="T22" s="18">
        <f t="shared" si="2"/>
        <v>445791.15810218878</v>
      </c>
      <c r="U22" s="52">
        <v>5.0351584999999997E-2</v>
      </c>
      <c r="V22" s="1">
        <v>2155.4539687540801</v>
      </c>
      <c r="W22" s="1">
        <v>173.71500443431799</v>
      </c>
      <c r="X22" s="1">
        <v>1503.76785056529</v>
      </c>
      <c r="Y22" s="1">
        <v>2331.7495244400202</v>
      </c>
      <c r="Z22" s="1">
        <v>2403.0829298752701</v>
      </c>
      <c r="AA22" s="1">
        <v>1931.0730016560799</v>
      </c>
      <c r="AB22" s="1">
        <v>2049.7867257706798</v>
      </c>
      <c r="AC22" s="1">
        <v>23.3166217588923</v>
      </c>
      <c r="AD22" s="1">
        <v>1394.3462615307001</v>
      </c>
      <c r="AE22" s="1">
        <v>2347.3405865587902</v>
      </c>
      <c r="AF22" s="1">
        <v>1947.2711715435601</v>
      </c>
      <c r="AG22" s="1">
        <v>2306.2131274717299</v>
      </c>
      <c r="AH22" s="53">
        <v>20567.116774359401</v>
      </c>
    </row>
    <row r="23" spans="1:34" s="16" customFormat="1" ht="21.75" customHeight="1">
      <c r="A23" s="9" t="s">
        <v>42</v>
      </c>
      <c r="B23" s="14">
        <f t="shared" si="1"/>
        <v>44562</v>
      </c>
      <c r="C23" s="11" t="s">
        <v>23</v>
      </c>
      <c r="D23" s="10" t="s">
        <v>25</v>
      </c>
      <c r="E23" s="9" t="s">
        <v>46</v>
      </c>
      <c r="F23" s="21" t="s">
        <v>26</v>
      </c>
      <c r="G23" s="20" t="str">
        <f t="array" ref="G23">IF(OR(C23="",F23=""),"",IFERROR(_xlfn.XLOOKUP(1, (INDEX(Emission_Factor_Unit,,1)=C23)*(INDEX(Emission_Factor_Unit,,2)=F23), INDEX(Emission_Factor_Unit,,4)),""))</f>
        <v>GJ</v>
      </c>
      <c r="H23" s="18">
        <v>42808.065898105859</v>
      </c>
      <c r="I23" s="18">
        <v>3450.0404393291319</v>
      </c>
      <c r="J23" s="18">
        <v>29865.352809952001</v>
      </c>
      <c r="K23" s="18">
        <v>46309.356983300873</v>
      </c>
      <c r="L23" s="18">
        <v>47726.063238630253</v>
      </c>
      <c r="M23" s="18">
        <v>38351.781808975356</v>
      </c>
      <c r="N23" s="18">
        <v>40709.477681202748</v>
      </c>
      <c r="O23" s="18">
        <v>463.07622210685747</v>
      </c>
      <c r="P23" s="18">
        <v>27692.201973993531</v>
      </c>
      <c r="Q23" s="18">
        <v>46619.000902529391</v>
      </c>
      <c r="R23" s="18">
        <v>38673.483099758647</v>
      </c>
      <c r="S23" s="18">
        <v>45802.195253073609</v>
      </c>
      <c r="T23" s="18">
        <f t="shared" si="2"/>
        <v>408470.09631095821</v>
      </c>
      <c r="U23" s="52">
        <v>5.0351584999999997E-2</v>
      </c>
      <c r="V23" s="1">
        <v>2149.4680604201699</v>
      </c>
      <c r="W23" s="1">
        <v>1801.08058862808</v>
      </c>
      <c r="X23" s="1">
        <v>2220.1897813334199</v>
      </c>
      <c r="Y23" s="1">
        <v>2089.8064763935599</v>
      </c>
      <c r="Z23" s="1">
        <v>2358.50452866454</v>
      </c>
      <c r="AA23" s="1">
        <v>2300.7150910396899</v>
      </c>
      <c r="AB23" s="1">
        <v>2224.0267132707099</v>
      </c>
      <c r="AC23" s="1">
        <v>2405.6100562360498</v>
      </c>
      <c r="AD23" s="1">
        <v>2307.71183395759</v>
      </c>
      <c r="AE23" s="1">
        <v>2112.14710781441</v>
      </c>
      <c r="AF23" s="1">
        <v>1316.96074137298</v>
      </c>
      <c r="AG23" s="1">
        <v>427.049731689694</v>
      </c>
      <c r="AH23" s="53">
        <v>23713.2707108209</v>
      </c>
    </row>
    <row r="24" spans="1:34" s="16" customFormat="1" ht="21.75" customHeight="1">
      <c r="A24" s="9" t="s">
        <v>42</v>
      </c>
      <c r="B24" s="14">
        <f t="shared" si="1"/>
        <v>44562</v>
      </c>
      <c r="C24" s="11" t="s">
        <v>23</v>
      </c>
      <c r="D24" s="10" t="s">
        <v>25</v>
      </c>
      <c r="E24" s="9" t="s">
        <v>46</v>
      </c>
      <c r="F24" s="21" t="s">
        <v>26</v>
      </c>
      <c r="G24" s="20" t="str">
        <f t="array" ref="G24">IF(OR(C24="",F24=""),"",IFERROR(_xlfn.XLOOKUP(1, (INDEX(Emission_Factor_Unit,,1)=C24)*(INDEX(Emission_Factor_Unit,,2)=F24), INDEX(Emission_Factor_Unit,,4)),""))</f>
        <v>GJ</v>
      </c>
      <c r="H24" s="18">
        <v>42689.183675552064</v>
      </c>
      <c r="I24" s="18">
        <v>35770.087250045501</v>
      </c>
      <c r="J24" s="18">
        <v>44093.741663413799</v>
      </c>
      <c r="K24" s="18">
        <v>41504.283855087393</v>
      </c>
      <c r="L24" s="18">
        <v>46840.720677701451</v>
      </c>
      <c r="M24" s="18">
        <v>45693.002336265941</v>
      </c>
      <c r="N24" s="18">
        <v>44169.944466906272</v>
      </c>
      <c r="O24" s="18">
        <v>47776.252847572679</v>
      </c>
      <c r="P24" s="18">
        <v>45831.960085419123</v>
      </c>
      <c r="Q24" s="18">
        <v>41947.976569444792</v>
      </c>
      <c r="R24" s="18">
        <v>26155.298614194271</v>
      </c>
      <c r="S24" s="18">
        <v>8481.356280833932</v>
      </c>
      <c r="T24" s="18">
        <f t="shared" si="2"/>
        <v>470953.80832243722</v>
      </c>
      <c r="U24" s="52">
        <v>5.0351584999999997E-2</v>
      </c>
      <c r="V24" s="1">
        <v>2311.38067829499</v>
      </c>
      <c r="W24" s="1">
        <v>1633.7289164726701</v>
      </c>
      <c r="X24" s="1">
        <v>2136.68036359906</v>
      </c>
      <c r="Y24" s="1">
        <v>1885.32019713668</v>
      </c>
      <c r="Z24" s="1">
        <v>1236.6679366962301</v>
      </c>
      <c r="AA24" s="1">
        <v>731.58319725680599</v>
      </c>
      <c r="AB24" s="1">
        <v>2158.0689215983198</v>
      </c>
      <c r="AC24" s="1">
        <v>2284.6497425836701</v>
      </c>
      <c r="AD24" s="1">
        <v>1973.8926992619399</v>
      </c>
      <c r="AE24" s="1">
        <v>2376.1067708641299</v>
      </c>
      <c r="AF24" s="1">
        <v>2221.7505804792299</v>
      </c>
      <c r="AG24" s="1">
        <v>2324.4093987471301</v>
      </c>
      <c r="AH24" s="53">
        <v>23274.239402990901</v>
      </c>
    </row>
    <row r="25" spans="1:34" s="16" customFormat="1" ht="21.75" customHeight="1">
      <c r="A25" s="9" t="s">
        <v>42</v>
      </c>
      <c r="B25" s="14">
        <f t="shared" si="1"/>
        <v>44562</v>
      </c>
      <c r="C25" s="11" t="s">
        <v>23</v>
      </c>
      <c r="D25" s="10" t="s">
        <v>25</v>
      </c>
      <c r="E25" s="9" t="s">
        <v>46</v>
      </c>
      <c r="F25" s="21" t="s">
        <v>26</v>
      </c>
      <c r="G25" s="20" t="str">
        <f t="array" ref="G25">IF(OR(C25="",F25=""),"",IFERROR(_xlfn.XLOOKUP(1, (INDEX(Emission_Factor_Unit,,1)=C25)*(INDEX(Emission_Factor_Unit,,2)=F25), INDEX(Emission_Factor_Unit,,4)),""))</f>
        <v>GJ</v>
      </c>
      <c r="H25" s="18">
        <v>45904.824610684933</v>
      </c>
      <c r="I25" s="18">
        <v>32446.424804157919</v>
      </c>
      <c r="J25" s="18">
        <v>42435.215566680992</v>
      </c>
      <c r="K25" s="18">
        <v>37443.11518965444</v>
      </c>
      <c r="L25" s="18">
        <v>24560.655572138068</v>
      </c>
      <c r="M25" s="18">
        <v>14529.496881911589</v>
      </c>
      <c r="N25" s="18">
        <v>42859.999771572548</v>
      </c>
      <c r="O25" s="18">
        <v>45373.938925332193</v>
      </c>
      <c r="P25" s="18">
        <v>39202.195904298533</v>
      </c>
      <c r="Q25" s="18">
        <v>47190.307333207689</v>
      </c>
      <c r="R25" s="18">
        <v>44124.739677593687</v>
      </c>
      <c r="S25" s="18">
        <v>46163.579532742267</v>
      </c>
      <c r="T25" s="18">
        <f t="shared" si="2"/>
        <v>462234.49376997486</v>
      </c>
      <c r="U25" s="52">
        <v>5.0351584999999997E-2</v>
      </c>
      <c r="V25" s="1">
        <v>1035.48161581366</v>
      </c>
      <c r="W25" s="1">
        <v>1902.8910702921301</v>
      </c>
      <c r="X25" s="1">
        <v>2350.1504456019902</v>
      </c>
      <c r="Y25" s="1">
        <v>2161.56499196499</v>
      </c>
      <c r="Z25" s="1">
        <v>2001.2123348807099</v>
      </c>
      <c r="AA25" s="1">
        <v>2291.3442207199801</v>
      </c>
      <c r="AB25" s="1">
        <v>2102.2080185362202</v>
      </c>
      <c r="AC25" s="1">
        <v>2448.69024555545</v>
      </c>
      <c r="AD25" s="1">
        <v>2381.0846367930899</v>
      </c>
      <c r="AE25" s="1">
        <v>1281.26418978786</v>
      </c>
      <c r="AF25" s="1">
        <v>1613.1691393006599</v>
      </c>
      <c r="AG25" s="1">
        <v>2488.69743751122</v>
      </c>
      <c r="AH25" s="53">
        <v>24057.758346758001</v>
      </c>
    </row>
    <row r="26" spans="1:34" s="16" customFormat="1" ht="21.75" customHeight="1">
      <c r="A26" s="9" t="s">
        <v>42</v>
      </c>
      <c r="B26" s="14">
        <f t="shared" si="1"/>
        <v>44562</v>
      </c>
      <c r="C26" s="11" t="s">
        <v>23</v>
      </c>
      <c r="D26" s="10" t="s">
        <v>25</v>
      </c>
      <c r="E26" s="9" t="s">
        <v>46</v>
      </c>
      <c r="F26" s="21" t="s">
        <v>26</v>
      </c>
      <c r="G26" s="20" t="str">
        <f t="array" ref="G26">IF(OR(C26="",F26=""),"",IFERROR(_xlfn.XLOOKUP(1, (INDEX(Emission_Factor_Unit,,1)=C26)*(INDEX(Emission_Factor_Unit,,2)=F26), INDEX(Emission_Factor_Unit,,4)),""))</f>
        <v>GJ</v>
      </c>
      <c r="H26" s="18">
        <v>20565.025228374841</v>
      </c>
      <c r="I26" s="18">
        <v>37792.078845027943</v>
      </c>
      <c r="J26" s="18">
        <v>46674.805680933117</v>
      </c>
      <c r="K26" s="18">
        <v>42929.432945655833</v>
      </c>
      <c r="L26" s="18">
        <v>39744.773374675577</v>
      </c>
      <c r="M26" s="18">
        <v>45506.893590737622</v>
      </c>
      <c r="N26" s="18">
        <v>41750.582797666139</v>
      </c>
      <c r="O26" s="18">
        <v>48631.840398975539</v>
      </c>
      <c r="P26" s="18">
        <v>47289.169482809448</v>
      </c>
      <c r="Q26" s="18">
        <v>25446.3526776338</v>
      </c>
      <c r="R26" s="18">
        <v>32038.10047490388</v>
      </c>
      <c r="S26" s="18">
        <v>49426.397153361191</v>
      </c>
      <c r="T26" s="18">
        <f t="shared" si="2"/>
        <v>477795.45265075495</v>
      </c>
      <c r="U26" s="52">
        <v>1.8392250000000001E-3</v>
      </c>
      <c r="V26" s="1">
        <v>4341.7816886178098</v>
      </c>
      <c r="W26" s="1">
        <v>1470.93789708089</v>
      </c>
      <c r="X26" s="1">
        <v>26325.555908334602</v>
      </c>
      <c r="Y26" s="1">
        <v>1074.7853591278399</v>
      </c>
      <c r="Z26" s="1">
        <v>140.41566245941399</v>
      </c>
      <c r="AA26" s="1">
        <v>19.9370692011627</v>
      </c>
      <c r="AB26" s="1">
        <v>1294.6852434789</v>
      </c>
      <c r="AC26" s="1">
        <v>984.610914091322</v>
      </c>
      <c r="AD26" s="1">
        <v>1051.1884519016101</v>
      </c>
      <c r="AE26" s="1">
        <v>17.012768754287801</v>
      </c>
      <c r="AF26" s="1">
        <v>3977.2486493505999</v>
      </c>
      <c r="AG26" s="1">
        <v>82.168472417598196</v>
      </c>
      <c r="AH26" s="53">
        <v>40780.328084816101</v>
      </c>
    </row>
    <row r="27" spans="1:34" s="16" customFormat="1" ht="21.75" customHeight="1">
      <c r="A27" s="9" t="s">
        <v>42</v>
      </c>
      <c r="B27" s="14">
        <f t="shared" si="1"/>
        <v>44562</v>
      </c>
      <c r="C27" s="11" t="s">
        <v>23</v>
      </c>
      <c r="D27" s="10" t="s">
        <v>30</v>
      </c>
      <c r="E27" s="9" t="s">
        <v>47</v>
      </c>
      <c r="F27" s="21" t="s">
        <v>30</v>
      </c>
      <c r="G27" s="20" t="str">
        <f t="array" ref="G27">IF(OR(C27="",F27=""),"",IFERROR(_xlfn.XLOOKUP(1, (INDEX(Emission_Factor_Unit,,1)=C27)*(INDEX(Emission_Factor_Unit,,2)=F27), INDEX(Emission_Factor_Unit,,4)),""))</f>
        <v>m³</v>
      </c>
      <c r="H27" s="18">
        <v>2360658.260200799</v>
      </c>
      <c r="I27" s="18">
        <v>799759.62542967382</v>
      </c>
      <c r="J27" s="18">
        <v>14313396.081683651</v>
      </c>
      <c r="K27" s="18">
        <v>584368.61130521982</v>
      </c>
      <c r="L27" s="18">
        <v>76345.016221187572</v>
      </c>
      <c r="M27" s="18">
        <v>10839.92942742878</v>
      </c>
      <c r="N27" s="18">
        <v>703929.7766607654</v>
      </c>
      <c r="O27" s="18">
        <v>535340.11015037447</v>
      </c>
      <c r="P27" s="18">
        <v>571538.80134383147</v>
      </c>
      <c r="Q27" s="18">
        <v>9249.9660206270837</v>
      </c>
      <c r="R27" s="18">
        <v>2162458.9973225701</v>
      </c>
      <c r="S27" s="18">
        <v>44675.595654473043</v>
      </c>
      <c r="T27" s="18">
        <f t="shared" si="2"/>
        <v>22172560.771420605</v>
      </c>
      <c r="U27" s="52">
        <v>1.8392250000000001E-3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53">
        <v>0</v>
      </c>
    </row>
    <row r="28" spans="1:34" s="16" customFormat="1" ht="21.75" customHeight="1">
      <c r="A28" s="9" t="s">
        <v>42</v>
      </c>
      <c r="B28" s="14">
        <f t="shared" si="1"/>
        <v>44562</v>
      </c>
      <c r="C28" s="11" t="s">
        <v>23</v>
      </c>
      <c r="D28" s="10" t="s">
        <v>30</v>
      </c>
      <c r="E28" s="9" t="s">
        <v>48</v>
      </c>
      <c r="F28" s="21" t="s">
        <v>30</v>
      </c>
      <c r="G28" s="20" t="str">
        <f t="array" ref="G28">IF(OR(C28="",F28=""),"",IFERROR(_xlfn.XLOOKUP(1, (INDEX(Emission_Factor_Unit,,1)=C28)*(INDEX(Emission_Factor_Unit,,2)=F28), INDEX(Emission_Factor_Unit,,4)),""))</f>
        <v>m³</v>
      </c>
      <c r="H28" s="18">
        <v>0</v>
      </c>
      <c r="I28" s="18">
        <v>0</v>
      </c>
      <c r="J28" s="18">
        <v>0</v>
      </c>
      <c r="K28" s="18">
        <v>0</v>
      </c>
      <c r="L28" s="18">
        <v>0</v>
      </c>
      <c r="M28" s="18">
        <v>0</v>
      </c>
      <c r="N28" s="18">
        <v>0</v>
      </c>
      <c r="O28" s="18">
        <v>0</v>
      </c>
      <c r="P28" s="18">
        <v>0</v>
      </c>
      <c r="Q28" s="18">
        <v>0</v>
      </c>
      <c r="R28" s="18">
        <v>0</v>
      </c>
      <c r="S28" s="18">
        <v>0</v>
      </c>
      <c r="T28" s="18">
        <f t="shared" si="2"/>
        <v>0</v>
      </c>
      <c r="U28" s="52">
        <v>1.8392250000000001E-3</v>
      </c>
      <c r="V28" s="1">
        <v>1205.90948753257</v>
      </c>
      <c r="W28" s="1">
        <v>855.79847790002998</v>
      </c>
      <c r="X28" s="1">
        <v>1230.4076567408999</v>
      </c>
      <c r="Y28" s="1">
        <v>1260.05482852555</v>
      </c>
      <c r="Z28" s="1">
        <v>1460.09434827158</v>
      </c>
      <c r="AA28" s="1">
        <v>1582.2984972340901</v>
      </c>
      <c r="AB28" s="1">
        <v>1238.5794855680999</v>
      </c>
      <c r="AC28" s="1">
        <v>1262.0694046456499</v>
      </c>
      <c r="AD28" s="1">
        <v>1429.41006423409</v>
      </c>
      <c r="AE28" s="1">
        <v>1462.3398213681901</v>
      </c>
      <c r="AF28" s="1">
        <v>1295.82269432933</v>
      </c>
      <c r="AG28" s="1">
        <v>1430.29132102779</v>
      </c>
      <c r="AH28" s="53">
        <v>15713.0760873779</v>
      </c>
    </row>
    <row r="29" spans="1:34" s="16" customFormat="1" ht="21.75" customHeight="1">
      <c r="A29" s="9" t="s">
        <v>42</v>
      </c>
      <c r="B29" s="14">
        <f t="shared" si="1"/>
        <v>44562</v>
      </c>
      <c r="C29" s="11" t="s">
        <v>23</v>
      </c>
      <c r="D29" s="10" t="s">
        <v>30</v>
      </c>
      <c r="E29" s="9" t="s">
        <v>49</v>
      </c>
      <c r="F29" s="21" t="s">
        <v>30</v>
      </c>
      <c r="G29" s="20" t="str">
        <f t="array" ref="G29">IF(OR(C29="",F29=""),"",IFERROR(_xlfn.XLOOKUP(1, (INDEX(Emission_Factor_Unit,,1)=C29)*(INDEX(Emission_Factor_Unit,,2)=F29), INDEX(Emission_Factor_Unit,,4)),""))</f>
        <v>m³</v>
      </c>
      <c r="H29" s="18">
        <v>655661.75292994047</v>
      </c>
      <c r="I29" s="18">
        <v>465303.85238349292</v>
      </c>
      <c r="J29" s="18">
        <v>668981.58558137517</v>
      </c>
      <c r="K29" s="18">
        <v>685100.96835653519</v>
      </c>
      <c r="L29" s="18">
        <v>793863.90913106361</v>
      </c>
      <c r="M29" s="18">
        <v>860307.19310257852</v>
      </c>
      <c r="N29" s="18">
        <v>673424.66830762755</v>
      </c>
      <c r="O29" s="18">
        <v>686196.30803498707</v>
      </c>
      <c r="P29" s="18">
        <v>777180.64088629035</v>
      </c>
      <c r="Q29" s="18">
        <v>795084.78917380655</v>
      </c>
      <c r="R29" s="18">
        <v>704548.21695514768</v>
      </c>
      <c r="S29" s="18">
        <v>777659.78661000624</v>
      </c>
      <c r="T29" s="18">
        <f t="shared" si="2"/>
        <v>8543313.6714528501</v>
      </c>
      <c r="U29" s="52">
        <v>1.8392250000000001E-3</v>
      </c>
      <c r="V29" s="1">
        <v>7.6841071219794896</v>
      </c>
      <c r="W29" s="1">
        <v>6.8110093193946204</v>
      </c>
      <c r="X29" s="1">
        <v>7.4309162279878098</v>
      </c>
      <c r="Y29" s="1">
        <v>7.1209627736912102</v>
      </c>
      <c r="Z29" s="1">
        <v>7.2277660121596803</v>
      </c>
      <c r="AA29" s="1">
        <v>6.6100997309469403</v>
      </c>
      <c r="AB29" s="1">
        <v>6.6663643740562097</v>
      </c>
      <c r="AC29" s="1">
        <v>6.7243717273502703</v>
      </c>
      <c r="AD29" s="1">
        <v>6.6486883136103803</v>
      </c>
      <c r="AE29" s="1">
        <v>6.4174057762276098</v>
      </c>
      <c r="AF29" s="1">
        <v>7.1533273914089301</v>
      </c>
      <c r="AG29" s="1">
        <v>7.90692506703608</v>
      </c>
      <c r="AH29" s="53">
        <v>84.401943835849195</v>
      </c>
    </row>
    <row r="30" spans="1:34" s="16" customFormat="1" ht="21.75" customHeight="1">
      <c r="A30" s="9" t="s">
        <v>42</v>
      </c>
      <c r="B30" s="14">
        <f t="shared" si="1"/>
        <v>44562</v>
      </c>
      <c r="C30" s="11" t="s">
        <v>23</v>
      </c>
      <c r="D30" s="10" t="s">
        <v>30</v>
      </c>
      <c r="E30" s="9" t="s">
        <v>50</v>
      </c>
      <c r="F30" s="21" t="s">
        <v>30</v>
      </c>
      <c r="G30" s="20" t="str">
        <f t="array" ref="G30">IF(OR(C30="",F30=""),"",IFERROR(_xlfn.XLOOKUP(1, (INDEX(Emission_Factor_Unit,,1)=C30)*(INDEX(Emission_Factor_Unit,,2)=F30), INDEX(Emission_Factor_Unit,,4)),""))</f>
        <v>m³</v>
      </c>
      <c r="H30" s="18">
        <v>4177.9048903638713</v>
      </c>
      <c r="I30" s="18">
        <v>3703.1952694176189</v>
      </c>
      <c r="J30" s="18">
        <v>4040.243161107428</v>
      </c>
      <c r="K30" s="18">
        <v>3871.7192152625221</v>
      </c>
      <c r="L30" s="18">
        <v>3929.7889122645029</v>
      </c>
      <c r="M30" s="18">
        <v>3593.959265966339</v>
      </c>
      <c r="N30" s="18">
        <v>3624.5507613566642</v>
      </c>
      <c r="O30" s="18">
        <v>3656.0897809404892</v>
      </c>
      <c r="P30" s="18">
        <v>3614.9401588225369</v>
      </c>
      <c r="Q30" s="18">
        <v>3489.1901622844462</v>
      </c>
      <c r="R30" s="18">
        <v>3889.3160931419111</v>
      </c>
      <c r="S30" s="18">
        <v>4299.052626533502</v>
      </c>
      <c r="T30" s="18">
        <f t="shared" si="2"/>
        <v>45889.950297461823</v>
      </c>
      <c r="U30" s="52">
        <v>1.8392250000000001E-3</v>
      </c>
      <c r="V30" s="1">
        <v>0</v>
      </c>
      <c r="W30" s="1">
        <v>8.0871592103527803E-2</v>
      </c>
      <c r="X30" s="1">
        <v>0</v>
      </c>
      <c r="Y30" s="1">
        <v>0.14248804323002501</v>
      </c>
      <c r="Z30" s="1">
        <v>0</v>
      </c>
      <c r="AA30" s="1">
        <v>19.201226582294801</v>
      </c>
      <c r="AB30" s="1">
        <v>4.62893589087812</v>
      </c>
      <c r="AC30" s="1">
        <v>17.714729698867998</v>
      </c>
      <c r="AD30" s="1">
        <v>0</v>
      </c>
      <c r="AE30" s="1">
        <v>0</v>
      </c>
      <c r="AF30" s="1">
        <v>0</v>
      </c>
      <c r="AG30" s="1">
        <v>0</v>
      </c>
      <c r="AH30" s="53">
        <v>41.768251807374497</v>
      </c>
    </row>
    <row r="31" spans="1:34" s="16" customFormat="1" ht="21.75" customHeight="1">
      <c r="A31" s="9" t="s">
        <v>42</v>
      </c>
      <c r="B31" s="14">
        <f t="shared" si="1"/>
        <v>44562</v>
      </c>
      <c r="C31" s="11" t="s">
        <v>23</v>
      </c>
      <c r="D31" s="10" t="s">
        <v>30</v>
      </c>
      <c r="E31" s="9" t="s">
        <v>51</v>
      </c>
      <c r="F31" s="21" t="s">
        <v>30</v>
      </c>
      <c r="G31" s="20" t="str">
        <f t="array" ref="G31">IF(OR(C31="",F31=""),"",IFERROR(_xlfn.XLOOKUP(1, (INDEX(Emission_Factor_Unit,,1)=C31)*(INDEX(Emission_Factor_Unit,,2)=F31), INDEX(Emission_Factor_Unit,,4)),""))</f>
        <v>m³</v>
      </c>
      <c r="H31" s="18">
        <v>0</v>
      </c>
      <c r="I31" s="18">
        <v>43.970472401977908</v>
      </c>
      <c r="J31" s="18">
        <v>0</v>
      </c>
      <c r="K31" s="18">
        <v>77.471784708246759</v>
      </c>
      <c r="L31" s="18">
        <v>0</v>
      </c>
      <c r="M31" s="18">
        <v>10439.846447441059</v>
      </c>
      <c r="N31" s="18">
        <v>2516.7860870084501</v>
      </c>
      <c r="O31" s="18">
        <v>9631.6272880523065</v>
      </c>
      <c r="P31" s="18">
        <v>0</v>
      </c>
      <c r="Q31" s="18">
        <v>0</v>
      </c>
      <c r="R31" s="18">
        <v>0</v>
      </c>
      <c r="S31" s="18">
        <v>0</v>
      </c>
      <c r="T31" s="18">
        <f t="shared" si="2"/>
        <v>22709.702079612041</v>
      </c>
      <c r="U31" s="52">
        <v>1.8392250000000001E-3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53">
        <v>0</v>
      </c>
    </row>
    <row r="32" spans="1:34" s="16" customFormat="1" ht="21.75" customHeight="1">
      <c r="A32" s="9" t="s">
        <v>42</v>
      </c>
      <c r="B32" s="14">
        <f t="shared" si="1"/>
        <v>44562</v>
      </c>
      <c r="C32" s="11" t="s">
        <v>23</v>
      </c>
      <c r="D32" s="10" t="s">
        <v>30</v>
      </c>
      <c r="E32" s="9" t="s">
        <v>52</v>
      </c>
      <c r="F32" s="21" t="s">
        <v>30</v>
      </c>
      <c r="G32" s="20" t="str">
        <f t="array" ref="G32">IF(OR(C32="",F32=""),"",IFERROR(_xlfn.XLOOKUP(1, (INDEX(Emission_Factor_Unit,,1)=C32)*(INDEX(Emission_Factor_Unit,,2)=F32), INDEX(Emission_Factor_Unit,,4)),""))</f>
        <v>m³</v>
      </c>
      <c r="H32" s="18">
        <v>0</v>
      </c>
      <c r="I32" s="18">
        <v>0</v>
      </c>
      <c r="J32" s="18">
        <v>0</v>
      </c>
      <c r="K32" s="18">
        <v>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f t="shared" si="2"/>
        <v>0</v>
      </c>
      <c r="U32" s="52">
        <v>1.8392250000000001E-3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53">
        <v>0</v>
      </c>
    </row>
    <row r="33" spans="1:34" s="16" customFormat="1" ht="21.75" customHeight="1">
      <c r="A33" s="9" t="s">
        <v>42</v>
      </c>
      <c r="B33" s="14">
        <f t="shared" si="1"/>
        <v>44562</v>
      </c>
      <c r="C33" s="11" t="s">
        <v>23</v>
      </c>
      <c r="D33" s="10" t="s">
        <v>30</v>
      </c>
      <c r="E33" s="9" t="s">
        <v>53</v>
      </c>
      <c r="F33" s="21" t="s">
        <v>30</v>
      </c>
      <c r="G33" s="20" t="str">
        <f t="array" ref="G33">IF(OR(C33="",F33=""),"",IFERROR(_xlfn.XLOOKUP(1, (INDEX(Emission_Factor_Unit,,1)=C33)*(INDEX(Emission_Factor_Unit,,2)=F33), INDEX(Emission_Factor_Unit,,4)),""))</f>
        <v>m³</v>
      </c>
      <c r="H33" s="18">
        <v>0</v>
      </c>
      <c r="I33" s="18">
        <v>0</v>
      </c>
      <c r="J33" s="18">
        <v>0</v>
      </c>
      <c r="K33" s="18">
        <v>0</v>
      </c>
      <c r="L33" s="18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v>0</v>
      </c>
      <c r="T33" s="18">
        <f t="shared" si="2"/>
        <v>0</v>
      </c>
      <c r="U33" s="52">
        <v>1.8392250000000001E-3</v>
      </c>
      <c r="V33" s="1">
        <v>3675.41153376685</v>
      </c>
      <c r="W33" s="1">
        <v>3275.8217873235599</v>
      </c>
      <c r="X33" s="1">
        <v>3598.2650269247702</v>
      </c>
      <c r="Y33" s="1">
        <v>3466.67724274376</v>
      </c>
      <c r="Z33" s="1">
        <v>3574.7416512038599</v>
      </c>
      <c r="AA33" s="1">
        <v>3453.6916794785702</v>
      </c>
      <c r="AB33" s="1">
        <v>3561.72041943871</v>
      </c>
      <c r="AC33" s="1">
        <v>3566.0920399645602</v>
      </c>
      <c r="AD33" s="1">
        <v>3447.2824958927399</v>
      </c>
      <c r="AE33" s="1">
        <v>3559.3573813166399</v>
      </c>
      <c r="AF33" s="1">
        <v>3440.51216874487</v>
      </c>
      <c r="AG33" s="1">
        <v>3561.5041791577301</v>
      </c>
      <c r="AH33" s="53">
        <v>42181.077605956598</v>
      </c>
    </row>
    <row r="34" spans="1:34" s="16" customFormat="1" ht="21.75" customHeight="1">
      <c r="A34" s="9" t="s">
        <v>42</v>
      </c>
      <c r="B34" s="14">
        <f t="shared" si="1"/>
        <v>44562</v>
      </c>
      <c r="C34" s="11" t="s">
        <v>23</v>
      </c>
      <c r="D34" s="10" t="s">
        <v>30</v>
      </c>
      <c r="E34" s="9" t="s">
        <v>54</v>
      </c>
      <c r="F34" s="21" t="s">
        <v>30</v>
      </c>
      <c r="G34" s="20" t="str">
        <f t="array" ref="G34">IF(OR(C34="",F34=""),"",IFERROR(_xlfn.XLOOKUP(1, (INDEX(Emission_Factor_Unit,,1)=C34)*(INDEX(Emission_Factor_Unit,,2)=F34), INDEX(Emission_Factor_Unit,,4)),""))</f>
        <v>m³</v>
      </c>
      <c r="H34" s="18">
        <v>1998347.963825444</v>
      </c>
      <c r="I34" s="18">
        <v>1781088.1144631889</v>
      </c>
      <c r="J34" s="18">
        <v>1956402.8473540579</v>
      </c>
      <c r="K34" s="18">
        <v>1884857.612713923</v>
      </c>
      <c r="L34" s="18">
        <v>1943613.0170065439</v>
      </c>
      <c r="M34" s="18">
        <v>1877797.2675874729</v>
      </c>
      <c r="N34" s="18">
        <v>1936533.2786574301</v>
      </c>
      <c r="O34" s="18">
        <v>1938910.1605103021</v>
      </c>
      <c r="P34" s="18">
        <v>1874312.547889869</v>
      </c>
      <c r="Q34" s="18">
        <v>1935248.4776558829</v>
      </c>
      <c r="R34" s="18">
        <v>1870631.4718127861</v>
      </c>
      <c r="S34" s="18">
        <v>1936415.707245023</v>
      </c>
      <c r="T34" s="18">
        <f t="shared" si="2"/>
        <v>22934158.466721922</v>
      </c>
      <c r="U34" s="52">
        <v>1.311E-2</v>
      </c>
      <c r="V34" s="1">
        <v>1192.8480999999999</v>
      </c>
      <c r="W34" s="1">
        <v>911.962175</v>
      </c>
      <c r="X34" s="1">
        <v>1201.51115</v>
      </c>
      <c r="Y34" s="1">
        <v>1268.6394250000001</v>
      </c>
      <c r="Z34" s="1">
        <v>1332.6796750000001</v>
      </c>
      <c r="AA34" s="1">
        <v>1290.04835</v>
      </c>
      <c r="AB34" s="1">
        <v>1232.9717000000001</v>
      </c>
      <c r="AC34" s="1">
        <v>1270.8984499999999</v>
      </c>
      <c r="AD34" s="1">
        <v>1317.674775</v>
      </c>
      <c r="AE34" s="1">
        <v>1385.694225</v>
      </c>
      <c r="AF34" s="1">
        <v>1301.1776749999999</v>
      </c>
      <c r="AG34" s="1">
        <v>1399.6007</v>
      </c>
      <c r="AH34" s="53">
        <v>15105.706399999999</v>
      </c>
    </row>
    <row r="35" spans="1:34" s="16" customFormat="1" ht="21.75" customHeight="1">
      <c r="A35" s="9" t="s">
        <v>42</v>
      </c>
      <c r="B35" s="14">
        <f t="shared" si="1"/>
        <v>44562</v>
      </c>
      <c r="C35" s="11" t="s">
        <v>23</v>
      </c>
      <c r="D35" s="10" t="s">
        <v>34</v>
      </c>
      <c r="E35" s="9" t="s">
        <v>34</v>
      </c>
      <c r="F35" s="21" t="s">
        <v>34</v>
      </c>
      <c r="G35" s="20" t="str">
        <f t="array" ref="G35">IF(OR(C35="",F35=""),"",IFERROR(_xlfn.XLOOKUP(1, (INDEX(Emission_Factor_Unit,,1)=C35)*(INDEX(Emission_Factor_Unit,,2)=F35), INDEX(Emission_Factor_Unit,,4)),""))</f>
        <v>m³</v>
      </c>
      <c r="H35" s="18">
        <v>90987.650648360024</v>
      </c>
      <c r="I35" s="18">
        <v>69562.332189168577</v>
      </c>
      <c r="J35" s="18">
        <v>91648.447749809318</v>
      </c>
      <c r="K35" s="18">
        <v>96768.834858886345</v>
      </c>
      <c r="L35" s="18">
        <v>101653.67467582</v>
      </c>
      <c r="M35" s="18">
        <v>98401.857360793278</v>
      </c>
      <c r="N35" s="18">
        <v>94048.184591914556</v>
      </c>
      <c r="O35" s="18">
        <v>96941.147978642242</v>
      </c>
      <c r="P35" s="18">
        <v>100509.13615560639</v>
      </c>
      <c r="Q35" s="18">
        <v>105697.5</v>
      </c>
      <c r="R35" s="18">
        <v>99250.776125095348</v>
      </c>
      <c r="S35" s="18">
        <v>106758.25324180011</v>
      </c>
      <c r="T35" s="18">
        <f t="shared" si="2"/>
        <v>1152227.795575896</v>
      </c>
      <c r="U35" s="52">
        <v>5.0351584999999997E-2</v>
      </c>
      <c r="V35" s="1">
        <v>215.15604812131701</v>
      </c>
      <c r="W35" s="1">
        <v>5.5252863875512501</v>
      </c>
      <c r="X35" s="1">
        <v>468.24685875186498</v>
      </c>
      <c r="Y35" s="1">
        <v>333.79837055229302</v>
      </c>
      <c r="Z35" s="1">
        <v>335.11783863221098</v>
      </c>
      <c r="AA35" s="1">
        <v>337.48188744911801</v>
      </c>
      <c r="AB35" s="1">
        <v>338.93881024281501</v>
      </c>
      <c r="AC35" s="1">
        <v>319.44914966201998</v>
      </c>
      <c r="AD35" s="1">
        <v>326.87115209040599</v>
      </c>
      <c r="AE35" s="1">
        <v>305.12740204680102</v>
      </c>
      <c r="AF35" s="1">
        <v>292.67489719736301</v>
      </c>
      <c r="AG35" s="1">
        <v>323.32508990735897</v>
      </c>
      <c r="AH35" s="53">
        <v>3601.71279104112</v>
      </c>
    </row>
    <row r="36" spans="1:34" s="16" customFormat="1" ht="21.75" customHeight="1">
      <c r="A36" s="9" t="s">
        <v>55</v>
      </c>
      <c r="B36" s="14">
        <f t="shared" si="1"/>
        <v>44562</v>
      </c>
      <c r="C36" s="11" t="s">
        <v>23</v>
      </c>
      <c r="D36" s="10" t="s">
        <v>25</v>
      </c>
      <c r="E36" s="9" t="s">
        <v>56</v>
      </c>
      <c r="F36" s="21" t="s">
        <v>26</v>
      </c>
      <c r="G36" s="20" t="str">
        <f t="array" ref="G36">IF(OR(C36="",F36=""),"",IFERROR(_xlfn.XLOOKUP(1, (INDEX(Emission_Factor_Unit,,1)=C36)*(INDEX(Emission_Factor_Unit,,2)=F36), INDEX(Emission_Factor_Unit,,4)),""))</f>
        <v>GJ</v>
      </c>
      <c r="H36" s="18">
        <v>4273.0739880644733</v>
      </c>
      <c r="I36" s="18">
        <v>109.73411040687699</v>
      </c>
      <c r="J36" s="18">
        <v>9299.5455605193965</v>
      </c>
      <c r="K36" s="18">
        <v>6629.3517980078086</v>
      </c>
      <c r="L36" s="18">
        <v>6655.5568932380411</v>
      </c>
      <c r="M36" s="18">
        <v>6702.5077254096022</v>
      </c>
      <c r="N36" s="18">
        <v>6731.4427190884899</v>
      </c>
      <c r="O36" s="18">
        <v>6344.3712777268001</v>
      </c>
      <c r="P36" s="18">
        <v>6491.7748287448312</v>
      </c>
      <c r="Q36" s="18">
        <v>6059.9363862488444</v>
      </c>
      <c r="R36" s="18">
        <v>5812.625306578997</v>
      </c>
      <c r="S36" s="18">
        <v>6421.34879979169</v>
      </c>
      <c r="T36" s="18">
        <f t="shared" si="2"/>
        <v>71531.26939382586</v>
      </c>
      <c r="U36" s="52">
        <v>0.77400000000000002</v>
      </c>
      <c r="V36" s="1">
        <v>6860.7914555560901</v>
      </c>
      <c r="W36" s="1">
        <v>6087.5926295240797</v>
      </c>
      <c r="X36" s="1">
        <v>8780.6334481759604</v>
      </c>
      <c r="Y36" s="1">
        <v>8615.8153194649094</v>
      </c>
      <c r="Z36" s="1">
        <v>8788.8370590436207</v>
      </c>
      <c r="AA36" s="1">
        <v>8470.4445289645591</v>
      </c>
      <c r="AB36" s="1">
        <v>8756.8048610119495</v>
      </c>
      <c r="AC36" s="1">
        <v>8750.0749519021701</v>
      </c>
      <c r="AD36" s="1">
        <v>8400.3437681104406</v>
      </c>
      <c r="AE36" s="1">
        <v>8757.9786683702005</v>
      </c>
      <c r="AF36" s="1">
        <v>8440.2150496502109</v>
      </c>
      <c r="AG36" s="1">
        <v>8714.6613689156002</v>
      </c>
      <c r="AH36" s="53">
        <v>99424.193108689797</v>
      </c>
    </row>
    <row r="37" spans="1:34" s="16" customFormat="1" ht="21.75" customHeight="1">
      <c r="A37" s="9" t="s">
        <v>55</v>
      </c>
      <c r="B37" s="14">
        <f t="shared" si="1"/>
        <v>44562</v>
      </c>
      <c r="C37" s="11" t="s">
        <v>57</v>
      </c>
      <c r="D37" s="10" t="s">
        <v>59</v>
      </c>
      <c r="E37" s="9" t="s">
        <v>58</v>
      </c>
      <c r="F37" s="21" t="s">
        <v>60</v>
      </c>
      <c r="G37" s="20" t="str">
        <f t="array" ref="G37">IF(OR(C37="",F37=""),"",IFERROR(_xlfn.XLOOKUP(1, (INDEX(Emission_Factor_Unit,,1)=C37)*(INDEX(Emission_Factor_Unit,,2)=F37), INDEX(Emission_Factor_Unit,,4)),""))</f>
        <v>kWh</v>
      </c>
      <c r="H37" s="18">
        <v>8864.0716480052834</v>
      </c>
      <c r="I37" s="18">
        <v>7865.10675649106</v>
      </c>
      <c r="J37" s="18">
        <v>11344.487659142071</v>
      </c>
      <c r="K37" s="18">
        <v>11131.544340393941</v>
      </c>
      <c r="L37" s="18">
        <v>11355.08663959124</v>
      </c>
      <c r="M37" s="18">
        <v>10943.72678160796</v>
      </c>
      <c r="N37" s="18">
        <v>11313.70137081647</v>
      </c>
      <c r="O37" s="18">
        <v>11305.006397806421</v>
      </c>
      <c r="P37" s="18">
        <v>10853.1573231401</v>
      </c>
      <c r="Q37" s="18">
        <v>11315.21791779096</v>
      </c>
      <c r="R37" s="18">
        <v>10904.67060678322</v>
      </c>
      <c r="S37" s="18">
        <v>11259.252414619639</v>
      </c>
      <c r="T37" s="18">
        <f t="shared" si="2"/>
        <v>128455.02985618834</v>
      </c>
      <c r="U37" s="52">
        <v>8.4570000000000006E-2</v>
      </c>
      <c r="V37" s="1">
        <v>41653.177530000001</v>
      </c>
      <c r="W37" s="1">
        <v>39398.033909999998</v>
      </c>
      <c r="X37" s="1">
        <v>52310.942640000001</v>
      </c>
      <c r="Y37" s="1">
        <v>48364.991009999998</v>
      </c>
      <c r="Z37" s="1">
        <v>49155.974219999996</v>
      </c>
      <c r="AA37" s="1">
        <v>48252.343769999999</v>
      </c>
      <c r="AB37" s="1">
        <v>48892.623240000001</v>
      </c>
      <c r="AC37" s="1">
        <v>48766.698510000002</v>
      </c>
      <c r="AD37" s="1">
        <v>46974.321929999998</v>
      </c>
      <c r="AE37" s="1">
        <v>49221.008549999999</v>
      </c>
      <c r="AF37" s="1">
        <v>53295.929429999997</v>
      </c>
      <c r="AG37" s="1">
        <v>48910.129229999999</v>
      </c>
      <c r="AH37" s="53">
        <v>575196.17397</v>
      </c>
    </row>
    <row r="38" spans="1:34" s="16" customFormat="1" ht="21.75" customHeight="1">
      <c r="A38" s="9" t="s">
        <v>55</v>
      </c>
      <c r="B38" s="14">
        <f t="shared" ref="B38:B69" si="3">IF(A38="","",DATE($F$1,1,1))</f>
        <v>44562</v>
      </c>
      <c r="C38" s="11" t="s">
        <v>57</v>
      </c>
      <c r="D38" s="10" t="s">
        <v>63</v>
      </c>
      <c r="E38" s="9" t="s">
        <v>62</v>
      </c>
      <c r="F38" s="21" t="s">
        <v>64</v>
      </c>
      <c r="G38" s="20" t="str">
        <f t="array" ref="G38">IF(OR(C38="",F38=""),"",IFERROR(_xlfn.XLOOKUP(1, (INDEX(Emission_Factor_Unit,,1)=C38)*(INDEX(Emission_Factor_Unit,,2)=F38), INDEX(Emission_Factor_Unit,,4)),""))</f>
        <v>MMBTU</v>
      </c>
      <c r="H38" s="18">
        <v>492529</v>
      </c>
      <c r="I38" s="18">
        <v>465862.99999999988</v>
      </c>
      <c r="J38" s="18">
        <v>618552</v>
      </c>
      <c r="K38" s="18">
        <v>571892.99999999988</v>
      </c>
      <c r="L38" s="18">
        <v>581245.99999999988</v>
      </c>
      <c r="M38" s="18">
        <v>570561</v>
      </c>
      <c r="N38" s="18">
        <v>578132</v>
      </c>
      <c r="O38" s="18">
        <v>576643</v>
      </c>
      <c r="P38" s="18">
        <v>555448.99999999988</v>
      </c>
      <c r="Q38" s="18">
        <v>582014.99999999988</v>
      </c>
      <c r="R38" s="18">
        <v>630199</v>
      </c>
      <c r="S38" s="18">
        <v>578338.99999999988</v>
      </c>
      <c r="T38" s="18">
        <f t="shared" ref="T38:T69" si="4">IF(COUNT(H38:S38)=0, "", SUM(H38:S38))</f>
        <v>6801421</v>
      </c>
      <c r="U38" s="52">
        <v>5.0351584999999997E-2</v>
      </c>
      <c r="V38" s="1">
        <v>285.41066360312902</v>
      </c>
      <c r="W38" s="1">
        <v>1.2583235669877399</v>
      </c>
      <c r="X38" s="1">
        <v>234.93472960918899</v>
      </c>
      <c r="Y38" s="1">
        <v>587.63710578327505</v>
      </c>
      <c r="Z38" s="1">
        <v>732.71609340438499</v>
      </c>
      <c r="AA38" s="1">
        <v>476.389863156405</v>
      </c>
      <c r="AB38" s="1">
        <v>534.87331075844804</v>
      </c>
      <c r="AC38" s="1">
        <v>381.75821126634901</v>
      </c>
      <c r="AD38" s="1">
        <v>474.81695869766997</v>
      </c>
      <c r="AE38" s="1">
        <v>503.95858857859099</v>
      </c>
      <c r="AF38" s="1">
        <v>547.71393079430095</v>
      </c>
      <c r="AG38" s="1">
        <v>684.32783260112899</v>
      </c>
      <c r="AH38" s="53">
        <v>5445.7956118198599</v>
      </c>
    </row>
    <row r="39" spans="1:34" s="16" customFormat="1" ht="21.75" customHeight="1">
      <c r="A39" s="9" t="s">
        <v>55</v>
      </c>
      <c r="B39" s="14">
        <f t="shared" si="3"/>
        <v>44562</v>
      </c>
      <c r="C39" s="11" t="s">
        <v>23</v>
      </c>
      <c r="D39" s="10" t="s">
        <v>25</v>
      </c>
      <c r="E39" s="9" t="s">
        <v>66</v>
      </c>
      <c r="F39" s="21" t="s">
        <v>26</v>
      </c>
      <c r="G39" s="20" t="str">
        <f t="array" ref="G39">IF(OR(C39="",F39=""),"",IFERROR(_xlfn.XLOOKUP(1, (INDEX(Emission_Factor_Unit,,1)=C39)*(INDEX(Emission_Factor_Unit,,2)=F39), INDEX(Emission_Factor_Unit,,4)),""))</f>
        <v>GJ</v>
      </c>
      <c r="H39" s="18">
        <v>5668.3550995093601</v>
      </c>
      <c r="I39" s="18">
        <v>24.990743925692509</v>
      </c>
      <c r="J39" s="18">
        <v>4665.8854852173772</v>
      </c>
      <c r="K39" s="18">
        <v>11670.67741329841</v>
      </c>
      <c r="L39" s="18">
        <v>14551.9965936402</v>
      </c>
      <c r="M39" s="18">
        <v>9461.2684616860624</v>
      </c>
      <c r="N39" s="18">
        <v>10622.77008277789</v>
      </c>
      <c r="O39" s="18">
        <v>7581.8509241833999</v>
      </c>
      <c r="P39" s="18">
        <v>9430.0300317789406</v>
      </c>
      <c r="Q39" s="18">
        <v>10008.79294223987</v>
      </c>
      <c r="R39" s="18">
        <v>10877.789265110539</v>
      </c>
      <c r="S39" s="18">
        <v>13590.98889540675</v>
      </c>
      <c r="T39" s="18">
        <f t="shared" si="4"/>
        <v>108155.39593877448</v>
      </c>
      <c r="U39" s="52">
        <v>5.0351584999999997E-2</v>
      </c>
      <c r="V39" s="1">
        <v>90.515029258097698</v>
      </c>
      <c r="W39" s="1">
        <v>19.800743112893901</v>
      </c>
      <c r="X39" s="1">
        <v>202.98547911604601</v>
      </c>
      <c r="Y39" s="1">
        <v>45.4339752853083</v>
      </c>
      <c r="Z39" s="1">
        <v>423.72847269356203</v>
      </c>
      <c r="AA39" s="1">
        <v>55.798716989806202</v>
      </c>
      <c r="AB39" s="1">
        <v>220.947316442659</v>
      </c>
      <c r="AC39" s="1">
        <v>216.22931573846</v>
      </c>
      <c r="AD39" s="1">
        <v>324.594733487638</v>
      </c>
      <c r="AE39" s="1">
        <v>459.09490316912502</v>
      </c>
      <c r="AF39" s="1">
        <v>302.880785364774</v>
      </c>
      <c r="AG39" s="1">
        <v>461.11955701462699</v>
      </c>
      <c r="AH39" s="53">
        <v>2823.1290276730001</v>
      </c>
    </row>
    <row r="40" spans="1:34" s="16" customFormat="1" ht="21.75" customHeight="1">
      <c r="A40" s="9" t="s">
        <v>55</v>
      </c>
      <c r="B40" s="14">
        <f t="shared" si="3"/>
        <v>44562</v>
      </c>
      <c r="C40" s="11" t="s">
        <v>23</v>
      </c>
      <c r="D40" s="10" t="s">
        <v>25</v>
      </c>
      <c r="E40" s="9" t="s">
        <v>67</v>
      </c>
      <c r="F40" s="21" t="s">
        <v>26</v>
      </c>
      <c r="G40" s="20" t="str">
        <f t="array" ref="G40">IF(OR(C40="",F40=""),"",IFERROR(_xlfn.XLOOKUP(1, (INDEX(Emission_Factor_Unit,,1)=C40)*(INDEX(Emission_Factor_Unit,,2)=F40), INDEX(Emission_Factor_Unit,,4)),""))</f>
        <v>GJ</v>
      </c>
      <c r="H40" s="18">
        <v>1797.6599794842159</v>
      </c>
      <c r="I40" s="18">
        <v>393.24964870309338</v>
      </c>
      <c r="J40" s="18">
        <v>4031.36225237092</v>
      </c>
      <c r="K40" s="18">
        <v>902.33455978214579</v>
      </c>
      <c r="L40" s="18">
        <v>8415.3949214024124</v>
      </c>
      <c r="M40" s="18">
        <v>1108.181936870631</v>
      </c>
      <c r="N40" s="18">
        <v>4388.090592235747</v>
      </c>
      <c r="O40" s="18">
        <v>4294.3894564284419</v>
      </c>
      <c r="P40" s="18">
        <v>6446.5643631206049</v>
      </c>
      <c r="Q40" s="18">
        <v>9117.7845378477141</v>
      </c>
      <c r="R40" s="18">
        <v>6015.3177971413152</v>
      </c>
      <c r="S40" s="18">
        <v>9157.9948677807715</v>
      </c>
      <c r="T40" s="18">
        <f t="shared" si="4"/>
        <v>56068.324913168013</v>
      </c>
      <c r="U40" s="52">
        <v>5.0351584999999997E-2</v>
      </c>
      <c r="V40" s="1">
        <v>105.292650752225</v>
      </c>
      <c r="W40" s="1">
        <v>1.0550365806836199E-2</v>
      </c>
      <c r="X40" s="1">
        <v>19.117262841987198</v>
      </c>
      <c r="Y40" s="1">
        <v>73.483297844614</v>
      </c>
      <c r="Z40" s="1">
        <v>103.256430151506</v>
      </c>
      <c r="AA40" s="1">
        <v>46.168400770715202</v>
      </c>
      <c r="AB40" s="1">
        <v>5.1380281479292202</v>
      </c>
      <c r="AC40" s="1">
        <v>11.236139584280499</v>
      </c>
      <c r="AD40" s="1">
        <v>9.2526708125953299</v>
      </c>
      <c r="AE40" s="1">
        <v>7.3430546015579798</v>
      </c>
      <c r="AF40" s="1">
        <v>17.165445167722499</v>
      </c>
      <c r="AG40" s="1">
        <v>16.0049049289705</v>
      </c>
      <c r="AH40" s="53">
        <v>413.46883596991103</v>
      </c>
    </row>
    <row r="41" spans="1:34" s="16" customFormat="1" ht="21.75" customHeight="1">
      <c r="A41" s="9" t="s">
        <v>55</v>
      </c>
      <c r="B41" s="14">
        <f t="shared" si="3"/>
        <v>44562</v>
      </c>
      <c r="C41" s="11" t="s">
        <v>23</v>
      </c>
      <c r="D41" s="10" t="s">
        <v>25</v>
      </c>
      <c r="E41" s="9" t="s">
        <v>68</v>
      </c>
      <c r="F41" s="21" t="s">
        <v>26</v>
      </c>
      <c r="G41" s="20" t="str">
        <f t="array" ref="G41">IF(OR(C41="",F41=""),"",IFERROR(_xlfn.XLOOKUP(1, (INDEX(Emission_Factor_Unit,,1)=C41)*(INDEX(Emission_Factor_Unit,,2)=F41), INDEX(Emission_Factor_Unit,,4)),""))</f>
        <v>GJ</v>
      </c>
      <c r="H41" s="18">
        <v>2091.1486848373379</v>
      </c>
      <c r="I41" s="18">
        <v>0.2095339363564461</v>
      </c>
      <c r="J41" s="18">
        <v>379.67549267788007</v>
      </c>
      <c r="K41" s="18">
        <v>1459.4038667226459</v>
      </c>
      <c r="L41" s="18">
        <v>2050.7086351205462</v>
      </c>
      <c r="M41" s="18">
        <v>916.92050549580847</v>
      </c>
      <c r="N41" s="18">
        <v>102.0430270055892</v>
      </c>
      <c r="O41" s="18">
        <v>223.1536422196144</v>
      </c>
      <c r="P41" s="18">
        <v>183.7612621846032</v>
      </c>
      <c r="Q41" s="18">
        <v>145.83561970408641</v>
      </c>
      <c r="R41" s="18">
        <v>340.91171445193851</v>
      </c>
      <c r="S41" s="18">
        <v>317.86298145272832</v>
      </c>
      <c r="T41" s="18">
        <f t="shared" si="4"/>
        <v>8211.6349658091349</v>
      </c>
      <c r="U41" s="54">
        <v>2.3203370499999998E-3</v>
      </c>
      <c r="V41" s="55">
        <v>2.32033705</v>
      </c>
      <c r="W41" s="55">
        <v>2.32033705</v>
      </c>
      <c r="X41" s="55">
        <v>2.32033705</v>
      </c>
      <c r="Y41" s="55">
        <v>2.32033705</v>
      </c>
      <c r="Z41" s="55">
        <v>2.32033705</v>
      </c>
      <c r="AA41" s="55">
        <v>2.32033705</v>
      </c>
      <c r="AB41" s="55">
        <v>2.32033705</v>
      </c>
      <c r="AC41" s="55">
        <v>2.32033705</v>
      </c>
      <c r="AD41" s="55">
        <v>2.32033705</v>
      </c>
      <c r="AE41" s="55">
        <v>2.32033705</v>
      </c>
      <c r="AF41" s="55">
        <v>2.32033705</v>
      </c>
      <c r="AG41" s="55">
        <v>2.32033705</v>
      </c>
      <c r="AH41" s="56">
        <v>27.8440446</v>
      </c>
    </row>
    <row r="42" spans="1:34">
      <c r="A42" s="13" t="s">
        <v>28</v>
      </c>
      <c r="B42" s="12">
        <f t="shared" si="3"/>
        <v>44562</v>
      </c>
      <c r="C42" s="15" t="s">
        <v>23</v>
      </c>
      <c r="D42" s="10" t="s">
        <v>70</v>
      </c>
      <c r="E42" s="13" t="s">
        <v>69</v>
      </c>
      <c r="F42" s="8" t="s">
        <v>71</v>
      </c>
      <c r="G42" s="7" t="str">
        <f t="array" ref="G42">IF(OR(C42="",F42=""),"",IFERROR(_xlfn.XLOOKUP(1, (INDEX(Emission_Factor_Unit,,1)=C42)*(INDEX(Emission_Factor_Unit,,2)=F42), INDEX(Emission_Factor_Unit,,4)),""))</f>
        <v>km</v>
      </c>
      <c r="H42" s="5">
        <v>1000</v>
      </c>
      <c r="I42" s="5">
        <v>1000</v>
      </c>
      <c r="J42" s="5">
        <v>1000</v>
      </c>
      <c r="K42" s="5">
        <v>1000</v>
      </c>
      <c r="L42" s="5">
        <v>1000</v>
      </c>
      <c r="M42" s="5">
        <v>1000</v>
      </c>
      <c r="N42" s="5">
        <v>1000</v>
      </c>
      <c r="O42" s="5">
        <v>1000</v>
      </c>
      <c r="P42" s="5">
        <v>1000</v>
      </c>
      <c r="Q42" s="5">
        <v>1000</v>
      </c>
      <c r="R42" s="5">
        <v>1000</v>
      </c>
      <c r="S42" s="5">
        <v>1000</v>
      </c>
      <c r="T42" s="5">
        <f t="shared" si="4"/>
        <v>12000</v>
      </c>
      <c r="U42" s="54">
        <v>2.3203212099999998E-3</v>
      </c>
      <c r="V42" s="55">
        <v>2.3203212099999999</v>
      </c>
      <c r="W42" s="55">
        <v>2.3203212099999999</v>
      </c>
      <c r="X42" s="55">
        <v>2.3203212099999999</v>
      </c>
      <c r="Y42" s="55">
        <v>2.3203212099999999</v>
      </c>
      <c r="Z42" s="55">
        <v>2.3203212099999999</v>
      </c>
      <c r="AA42" s="55">
        <v>2.3203212099999999</v>
      </c>
      <c r="AB42" s="55">
        <v>2.3203212099999999</v>
      </c>
      <c r="AC42" s="55">
        <v>2.3203212099999999</v>
      </c>
      <c r="AD42" s="55">
        <v>2.3203212099999999</v>
      </c>
      <c r="AE42" s="55">
        <v>2.3203212099999999</v>
      </c>
      <c r="AF42" s="55">
        <v>2.3203212099999999</v>
      </c>
      <c r="AG42" s="55">
        <v>2.3203212099999999</v>
      </c>
      <c r="AH42" s="56">
        <v>27.843854520000001</v>
      </c>
    </row>
    <row r="43" spans="1:34">
      <c r="A43" s="13" t="s">
        <v>28</v>
      </c>
      <c r="B43" s="12">
        <f t="shared" si="3"/>
        <v>44562</v>
      </c>
      <c r="C43" s="15" t="s">
        <v>23</v>
      </c>
      <c r="D43" s="10" t="s">
        <v>70</v>
      </c>
      <c r="E43" s="13" t="s">
        <v>73</v>
      </c>
      <c r="F43" s="8" t="s">
        <v>74</v>
      </c>
      <c r="G43" s="7" t="str">
        <f t="array" ref="G43">IF(OR(C43="",F43=""),"",IFERROR(_xlfn.XLOOKUP(1, (INDEX(Emission_Factor_Unit,,1)=C43)*(INDEX(Emission_Factor_Unit,,2)=F43), INDEX(Emission_Factor_Unit,,4)),""))</f>
        <v>km</v>
      </c>
      <c r="H43" s="5">
        <v>1000</v>
      </c>
      <c r="I43" s="5">
        <v>1000</v>
      </c>
      <c r="J43" s="5">
        <v>1000</v>
      </c>
      <c r="K43" s="5">
        <v>1000</v>
      </c>
      <c r="L43" s="5">
        <v>1000</v>
      </c>
      <c r="M43" s="5">
        <v>1000</v>
      </c>
      <c r="N43" s="5">
        <v>1000</v>
      </c>
      <c r="O43" s="5">
        <v>1000</v>
      </c>
      <c r="P43" s="5">
        <v>1000</v>
      </c>
      <c r="Q43" s="5">
        <v>1000</v>
      </c>
      <c r="R43" s="5">
        <v>1000</v>
      </c>
      <c r="S43" s="5">
        <v>1000</v>
      </c>
      <c r="T43" s="5">
        <f t="shared" si="4"/>
        <v>12000</v>
      </c>
      <c r="U43" s="54">
        <v>2.3203370499999998E-3</v>
      </c>
      <c r="V43" s="55">
        <v>2.32033705</v>
      </c>
      <c r="W43" s="55">
        <v>2.32033705</v>
      </c>
      <c r="X43" s="55">
        <v>2.32033705</v>
      </c>
      <c r="Y43" s="55">
        <v>2.32033705</v>
      </c>
      <c r="Z43" s="55">
        <v>2.32033705</v>
      </c>
      <c r="AA43" s="55">
        <v>2.32033705</v>
      </c>
      <c r="AB43" s="55">
        <v>2.32033705</v>
      </c>
      <c r="AC43" s="55">
        <v>2.32033705</v>
      </c>
      <c r="AD43" s="55">
        <v>2.32033705</v>
      </c>
      <c r="AE43" s="55">
        <v>2.32033705</v>
      </c>
      <c r="AF43" s="55">
        <v>2.32033705</v>
      </c>
      <c r="AG43" s="55">
        <v>2.32033705</v>
      </c>
      <c r="AH43" s="56">
        <v>27.8440446</v>
      </c>
    </row>
    <row r="44" spans="1:34">
      <c r="A44" s="13" t="s">
        <v>35</v>
      </c>
      <c r="B44" s="12">
        <f t="shared" si="3"/>
        <v>44562</v>
      </c>
      <c r="C44" s="15" t="s">
        <v>23</v>
      </c>
      <c r="D44" s="10" t="s">
        <v>70</v>
      </c>
      <c r="E44" s="13" t="s">
        <v>69</v>
      </c>
      <c r="F44" s="8" t="s">
        <v>71</v>
      </c>
      <c r="G44" s="7" t="str">
        <f t="array" ref="G44">IF(OR(C44="",F44=""),"",IFERROR(_xlfn.XLOOKUP(1, (INDEX(Emission_Factor_Unit,,1)=C44)*(INDEX(Emission_Factor_Unit,,2)=F44), INDEX(Emission_Factor_Unit,,4)),""))</f>
        <v>km</v>
      </c>
      <c r="H44" s="5">
        <v>1000</v>
      </c>
      <c r="I44" s="5">
        <v>1000</v>
      </c>
      <c r="J44" s="5">
        <v>1000</v>
      </c>
      <c r="K44" s="5">
        <v>1000</v>
      </c>
      <c r="L44" s="5">
        <v>1000</v>
      </c>
      <c r="M44" s="5">
        <v>1000</v>
      </c>
      <c r="N44" s="5">
        <v>1000</v>
      </c>
      <c r="O44" s="5">
        <v>1000</v>
      </c>
      <c r="P44" s="5">
        <v>1000</v>
      </c>
      <c r="Q44" s="5">
        <v>1000</v>
      </c>
      <c r="R44" s="5">
        <v>1000</v>
      </c>
      <c r="S44" s="5">
        <v>1000</v>
      </c>
      <c r="T44" s="5">
        <f t="shared" si="4"/>
        <v>12000</v>
      </c>
      <c r="U44" s="54">
        <v>2.3203212099999998E-3</v>
      </c>
      <c r="V44" s="55">
        <v>2.3203212099999999</v>
      </c>
      <c r="W44" s="55">
        <v>2.3203212099999999</v>
      </c>
      <c r="X44" s="55">
        <v>2.3203212099999999</v>
      </c>
      <c r="Y44" s="55">
        <v>2.3203212099999999</v>
      </c>
      <c r="Z44" s="55">
        <v>2.3203212099999999</v>
      </c>
      <c r="AA44" s="55">
        <v>2.3203212099999999</v>
      </c>
      <c r="AB44" s="55">
        <v>2.3203212099999999</v>
      </c>
      <c r="AC44" s="55">
        <v>2.3203212099999999</v>
      </c>
      <c r="AD44" s="55">
        <v>2.3203212099999999</v>
      </c>
      <c r="AE44" s="55">
        <v>2.3203212099999999</v>
      </c>
      <c r="AF44" s="55">
        <v>2.3203212099999999</v>
      </c>
      <c r="AG44" s="55">
        <v>2.3203212099999999</v>
      </c>
      <c r="AH44" s="56">
        <v>27.843854520000001</v>
      </c>
    </row>
    <row r="45" spans="1:34">
      <c r="A45" s="13" t="s">
        <v>35</v>
      </c>
      <c r="B45" s="12">
        <f t="shared" si="3"/>
        <v>44562</v>
      </c>
      <c r="C45" s="15" t="s">
        <v>23</v>
      </c>
      <c r="D45" s="10" t="s">
        <v>70</v>
      </c>
      <c r="E45" s="13" t="s">
        <v>73</v>
      </c>
      <c r="F45" s="8" t="s">
        <v>74</v>
      </c>
      <c r="G45" s="7" t="str">
        <f t="array" ref="G45">IF(OR(C45="",F45=""),"",IFERROR(_xlfn.XLOOKUP(1, (INDEX(Emission_Factor_Unit,,1)=C45)*(INDEX(Emission_Factor_Unit,,2)=F45), INDEX(Emission_Factor_Unit,,4)),""))</f>
        <v>km</v>
      </c>
      <c r="H45" s="5">
        <v>1000</v>
      </c>
      <c r="I45" s="5">
        <v>1000</v>
      </c>
      <c r="J45" s="5">
        <v>1000</v>
      </c>
      <c r="K45" s="5">
        <v>1000</v>
      </c>
      <c r="L45" s="5">
        <v>1000</v>
      </c>
      <c r="M45" s="5">
        <v>1000</v>
      </c>
      <c r="N45" s="5">
        <v>1000</v>
      </c>
      <c r="O45" s="5">
        <v>1000</v>
      </c>
      <c r="P45" s="5">
        <v>1000</v>
      </c>
      <c r="Q45" s="5">
        <v>1000</v>
      </c>
      <c r="R45" s="5">
        <v>1000</v>
      </c>
      <c r="S45" s="5">
        <v>1000</v>
      </c>
      <c r="T45" s="5">
        <f t="shared" si="4"/>
        <v>12000</v>
      </c>
      <c r="U45" s="54">
        <v>2.3203370499999998E-3</v>
      </c>
      <c r="V45" s="55">
        <v>2.32033705</v>
      </c>
      <c r="W45" s="55">
        <v>2.32033705</v>
      </c>
      <c r="X45" s="55">
        <v>2.32033705</v>
      </c>
      <c r="Y45" s="55">
        <v>2.32033705</v>
      </c>
      <c r="Z45" s="55">
        <v>2.32033705</v>
      </c>
      <c r="AA45" s="55">
        <v>2.32033705</v>
      </c>
      <c r="AB45" s="55">
        <v>2.32033705</v>
      </c>
      <c r="AC45" s="55">
        <v>2.32033705</v>
      </c>
      <c r="AD45" s="55">
        <v>2.32033705</v>
      </c>
      <c r="AE45" s="55">
        <v>2.32033705</v>
      </c>
      <c r="AF45" s="55">
        <v>2.32033705</v>
      </c>
      <c r="AG45" s="55">
        <v>2.32033705</v>
      </c>
      <c r="AH45" s="56">
        <v>27.8440446</v>
      </c>
    </row>
    <row r="46" spans="1:34">
      <c r="A46" s="13" t="s">
        <v>37</v>
      </c>
      <c r="B46" s="12">
        <f t="shared" si="3"/>
        <v>44562</v>
      </c>
      <c r="C46" s="15" t="s">
        <v>23</v>
      </c>
      <c r="D46" s="10" t="s">
        <v>70</v>
      </c>
      <c r="E46" s="13" t="s">
        <v>69</v>
      </c>
      <c r="F46" s="8" t="s">
        <v>71</v>
      </c>
      <c r="G46" s="7" t="str">
        <f t="array" ref="G46">IF(OR(C46="",F46=""),"",IFERROR(_xlfn.XLOOKUP(1, (INDEX(Emission_Factor_Unit,,1)=C46)*(INDEX(Emission_Factor_Unit,,2)=F46), INDEX(Emission_Factor_Unit,,4)),""))</f>
        <v>km</v>
      </c>
      <c r="H46" s="5">
        <v>1000</v>
      </c>
      <c r="I46" s="5">
        <v>1000</v>
      </c>
      <c r="J46" s="5">
        <v>1000</v>
      </c>
      <c r="K46" s="5">
        <v>1000</v>
      </c>
      <c r="L46" s="5">
        <v>1000</v>
      </c>
      <c r="M46" s="5">
        <v>1000</v>
      </c>
      <c r="N46" s="5">
        <v>1000</v>
      </c>
      <c r="O46" s="5">
        <v>1000</v>
      </c>
      <c r="P46" s="5">
        <v>1000</v>
      </c>
      <c r="Q46" s="5">
        <v>1000</v>
      </c>
      <c r="R46" s="5">
        <v>1000</v>
      </c>
      <c r="S46" s="5">
        <v>1000</v>
      </c>
      <c r="T46" s="5">
        <f t="shared" si="4"/>
        <v>12000</v>
      </c>
      <c r="U46" s="54">
        <v>2.3203212099999998E-3</v>
      </c>
      <c r="V46" s="55">
        <v>2.3203212099999999</v>
      </c>
      <c r="W46" s="55">
        <v>2.3203212099999999</v>
      </c>
      <c r="X46" s="55">
        <v>2.3203212099999999</v>
      </c>
      <c r="Y46" s="55">
        <v>2.3203212099999999</v>
      </c>
      <c r="Z46" s="55">
        <v>2.3203212099999999</v>
      </c>
      <c r="AA46" s="55">
        <v>2.3203212099999999</v>
      </c>
      <c r="AB46" s="55">
        <v>2.3203212099999999</v>
      </c>
      <c r="AC46" s="55">
        <v>2.3203212099999999</v>
      </c>
      <c r="AD46" s="55">
        <v>2.3203212099999999</v>
      </c>
      <c r="AE46" s="55">
        <v>2.3203212099999999</v>
      </c>
      <c r="AF46" s="55">
        <v>2.3203212099999999</v>
      </c>
      <c r="AG46" s="55">
        <v>2.3203212099999999</v>
      </c>
      <c r="AH46" s="56">
        <v>27.843854520000001</v>
      </c>
    </row>
    <row r="47" spans="1:34">
      <c r="A47" s="13" t="s">
        <v>37</v>
      </c>
      <c r="B47" s="12">
        <f t="shared" si="3"/>
        <v>44562</v>
      </c>
      <c r="C47" s="15" t="s">
        <v>23</v>
      </c>
      <c r="D47" s="10" t="s">
        <v>70</v>
      </c>
      <c r="E47" s="13" t="s">
        <v>73</v>
      </c>
      <c r="F47" s="8" t="s">
        <v>74</v>
      </c>
      <c r="G47" s="7" t="str">
        <f t="array" ref="G47">IF(OR(C47="",F47=""),"",IFERROR(_xlfn.XLOOKUP(1, (INDEX(Emission_Factor_Unit,,1)=C47)*(INDEX(Emission_Factor_Unit,,2)=F47), INDEX(Emission_Factor_Unit,,4)),""))</f>
        <v>km</v>
      </c>
      <c r="H47" s="5">
        <v>1000</v>
      </c>
      <c r="I47" s="5">
        <v>1000</v>
      </c>
      <c r="J47" s="5">
        <v>1000</v>
      </c>
      <c r="K47" s="5">
        <v>1000</v>
      </c>
      <c r="L47" s="5">
        <v>1000</v>
      </c>
      <c r="M47" s="5">
        <v>1000</v>
      </c>
      <c r="N47" s="5">
        <v>1000</v>
      </c>
      <c r="O47" s="5">
        <v>1000</v>
      </c>
      <c r="P47" s="5">
        <v>1000</v>
      </c>
      <c r="Q47" s="5">
        <v>1000</v>
      </c>
      <c r="R47" s="5">
        <v>1000</v>
      </c>
      <c r="S47" s="5">
        <v>1000</v>
      </c>
      <c r="T47" s="5">
        <f t="shared" si="4"/>
        <v>12000</v>
      </c>
      <c r="U47" s="54">
        <v>2.3203370499999998E-3</v>
      </c>
      <c r="V47" s="55">
        <v>2.32033705</v>
      </c>
      <c r="W47" s="55">
        <v>2.32033705</v>
      </c>
      <c r="X47" s="55">
        <v>2.32033705</v>
      </c>
      <c r="Y47" s="55">
        <v>2.32033705</v>
      </c>
      <c r="Z47" s="55">
        <v>2.32033705</v>
      </c>
      <c r="AA47" s="55">
        <v>2.32033705</v>
      </c>
      <c r="AB47" s="55">
        <v>2.32033705</v>
      </c>
      <c r="AC47" s="55">
        <v>2.32033705</v>
      </c>
      <c r="AD47" s="55">
        <v>2.32033705</v>
      </c>
      <c r="AE47" s="55">
        <v>2.32033705</v>
      </c>
      <c r="AF47" s="55">
        <v>2.32033705</v>
      </c>
      <c r="AG47" s="55">
        <v>2.32033705</v>
      </c>
      <c r="AH47" s="56">
        <v>27.8440446</v>
      </c>
    </row>
    <row r="48" spans="1:34">
      <c r="A48" s="13" t="s">
        <v>42</v>
      </c>
      <c r="B48" s="12">
        <f t="shared" si="3"/>
        <v>44562</v>
      </c>
      <c r="C48" s="15" t="s">
        <v>23</v>
      </c>
      <c r="D48" s="10" t="s">
        <v>70</v>
      </c>
      <c r="E48" s="13" t="s">
        <v>69</v>
      </c>
      <c r="F48" s="8" t="s">
        <v>71</v>
      </c>
      <c r="G48" s="7" t="str">
        <f t="array" ref="G48">IF(OR(C48="",F48=""),"",IFERROR(_xlfn.XLOOKUP(1, (INDEX(Emission_Factor_Unit,,1)=C48)*(INDEX(Emission_Factor_Unit,,2)=F48), INDEX(Emission_Factor_Unit,,4)),""))</f>
        <v>km</v>
      </c>
      <c r="H48" s="5">
        <v>1000</v>
      </c>
      <c r="I48" s="5">
        <v>1000</v>
      </c>
      <c r="J48" s="5">
        <v>1000</v>
      </c>
      <c r="K48" s="5">
        <v>1000</v>
      </c>
      <c r="L48" s="5">
        <v>1000</v>
      </c>
      <c r="M48" s="5">
        <v>1000</v>
      </c>
      <c r="N48" s="5">
        <v>1000</v>
      </c>
      <c r="O48" s="5">
        <v>1000</v>
      </c>
      <c r="P48" s="5">
        <v>1000</v>
      </c>
      <c r="Q48" s="5">
        <v>1000</v>
      </c>
      <c r="R48" s="5">
        <v>1000</v>
      </c>
      <c r="S48" s="5">
        <v>1000</v>
      </c>
      <c r="T48" s="5">
        <f t="shared" si="4"/>
        <v>12000</v>
      </c>
      <c r="U48" s="54">
        <v>2.3203212099999998E-3</v>
      </c>
      <c r="V48" s="55">
        <v>2.3203212099999999</v>
      </c>
      <c r="W48" s="55">
        <v>2.3203212099999999</v>
      </c>
      <c r="X48" s="55">
        <v>2.3203212099999999</v>
      </c>
      <c r="Y48" s="55">
        <v>2.3203212099999999</v>
      </c>
      <c r="Z48" s="55">
        <v>2.3203212099999999</v>
      </c>
      <c r="AA48" s="55">
        <v>2.3203212099999999</v>
      </c>
      <c r="AB48" s="55">
        <v>2.3203212099999999</v>
      </c>
      <c r="AC48" s="55">
        <v>2.3203212099999999</v>
      </c>
      <c r="AD48" s="55">
        <v>2.3203212099999999</v>
      </c>
      <c r="AE48" s="55">
        <v>2.3203212099999999</v>
      </c>
      <c r="AF48" s="55">
        <v>2.3203212099999999</v>
      </c>
      <c r="AG48" s="55">
        <v>2.3203212099999999</v>
      </c>
      <c r="AH48" s="56">
        <v>27.843854520000001</v>
      </c>
    </row>
    <row r="49" spans="1:34">
      <c r="A49" s="13" t="s">
        <v>42</v>
      </c>
      <c r="B49" s="12">
        <f t="shared" si="3"/>
        <v>44562</v>
      </c>
      <c r="C49" s="15" t="s">
        <v>23</v>
      </c>
      <c r="D49" s="10" t="s">
        <v>70</v>
      </c>
      <c r="E49" s="13" t="s">
        <v>73</v>
      </c>
      <c r="F49" s="8" t="s">
        <v>74</v>
      </c>
      <c r="G49" s="7" t="str">
        <f t="array" ref="G49">IF(OR(C49="",F49=""),"",IFERROR(_xlfn.XLOOKUP(1, (INDEX(Emission_Factor_Unit,,1)=C49)*(INDEX(Emission_Factor_Unit,,2)=F49), INDEX(Emission_Factor_Unit,,4)),""))</f>
        <v>km</v>
      </c>
      <c r="H49" s="5">
        <v>1000</v>
      </c>
      <c r="I49" s="5">
        <v>1000</v>
      </c>
      <c r="J49" s="5">
        <v>1000</v>
      </c>
      <c r="K49" s="5">
        <v>1000</v>
      </c>
      <c r="L49" s="5">
        <v>1000</v>
      </c>
      <c r="M49" s="5">
        <v>1000</v>
      </c>
      <c r="N49" s="5">
        <v>1000</v>
      </c>
      <c r="O49" s="5">
        <v>1000</v>
      </c>
      <c r="P49" s="5">
        <v>1000</v>
      </c>
      <c r="Q49" s="5">
        <v>1000</v>
      </c>
      <c r="R49" s="5">
        <v>1000</v>
      </c>
      <c r="S49" s="5">
        <v>1000</v>
      </c>
      <c r="T49" s="5">
        <f t="shared" si="4"/>
        <v>12000</v>
      </c>
      <c r="U49" s="54">
        <v>2.3203370499999998E-3</v>
      </c>
      <c r="V49" s="55">
        <v>2.32033705</v>
      </c>
      <c r="W49" s="55">
        <v>2.32033705</v>
      </c>
      <c r="X49" s="55">
        <v>2.32033705</v>
      </c>
      <c r="Y49" s="55">
        <v>2.32033705</v>
      </c>
      <c r="Z49" s="55">
        <v>2.32033705</v>
      </c>
      <c r="AA49" s="55">
        <v>2.32033705</v>
      </c>
      <c r="AB49" s="55">
        <v>2.32033705</v>
      </c>
      <c r="AC49" s="55">
        <v>2.32033705</v>
      </c>
      <c r="AD49" s="55">
        <v>2.32033705</v>
      </c>
      <c r="AE49" s="55">
        <v>2.32033705</v>
      </c>
      <c r="AF49" s="55">
        <v>2.32033705</v>
      </c>
      <c r="AG49" s="55">
        <v>2.32033705</v>
      </c>
      <c r="AH49" s="56">
        <v>27.8440446</v>
      </c>
    </row>
    <row r="50" spans="1:34">
      <c r="A50" s="13" t="s">
        <v>55</v>
      </c>
      <c r="B50" s="12">
        <f t="shared" si="3"/>
        <v>44562</v>
      </c>
      <c r="C50" s="15" t="s">
        <v>23</v>
      </c>
      <c r="D50" s="10" t="s">
        <v>70</v>
      </c>
      <c r="E50" s="13" t="s">
        <v>69</v>
      </c>
      <c r="F50" s="8" t="s">
        <v>71</v>
      </c>
      <c r="G50" s="7" t="str">
        <f t="array" ref="G50">IF(OR(C50="",F50=""),"",IFERROR(_xlfn.XLOOKUP(1, (INDEX(Emission_Factor_Unit,,1)=C50)*(INDEX(Emission_Factor_Unit,,2)=F50), INDEX(Emission_Factor_Unit,,4)),""))</f>
        <v>km</v>
      </c>
      <c r="H50" s="5">
        <v>1000</v>
      </c>
      <c r="I50" s="5">
        <v>1000</v>
      </c>
      <c r="J50" s="5">
        <v>1000</v>
      </c>
      <c r="K50" s="5">
        <v>1000</v>
      </c>
      <c r="L50" s="5">
        <v>1000</v>
      </c>
      <c r="M50" s="5">
        <v>1000</v>
      </c>
      <c r="N50" s="5">
        <v>1000</v>
      </c>
      <c r="O50" s="5">
        <v>1000</v>
      </c>
      <c r="P50" s="5">
        <v>1000</v>
      </c>
      <c r="Q50" s="5">
        <v>1000</v>
      </c>
      <c r="R50" s="5">
        <v>1000</v>
      </c>
      <c r="S50" s="5">
        <v>1000</v>
      </c>
      <c r="T50" s="5">
        <f t="shared" si="4"/>
        <v>12000</v>
      </c>
      <c r="U50" s="54">
        <v>2.3203212099999998E-3</v>
      </c>
      <c r="V50" s="55">
        <v>2.3203212099999999</v>
      </c>
      <c r="W50" s="55">
        <v>2.3203212099999999</v>
      </c>
      <c r="X50" s="55">
        <v>2.3203212099999999</v>
      </c>
      <c r="Y50" s="55">
        <v>2.3203212099999999</v>
      </c>
      <c r="Z50" s="55">
        <v>2.3203212099999999</v>
      </c>
      <c r="AA50" s="55">
        <v>2.3203212099999999</v>
      </c>
      <c r="AB50" s="55">
        <v>2.3203212099999999</v>
      </c>
      <c r="AC50" s="55">
        <v>2.3203212099999999</v>
      </c>
      <c r="AD50" s="55">
        <v>2.3203212099999999</v>
      </c>
      <c r="AE50" s="55">
        <v>2.3203212099999999</v>
      </c>
      <c r="AF50" s="55">
        <v>2.3203212099999999</v>
      </c>
      <c r="AG50" s="55">
        <v>2.3203212099999999</v>
      </c>
      <c r="AH50" s="56">
        <v>27.843854520000001</v>
      </c>
    </row>
    <row r="51" spans="1:34">
      <c r="A51" s="13" t="s">
        <v>55</v>
      </c>
      <c r="B51" s="12">
        <f t="shared" si="3"/>
        <v>44562</v>
      </c>
      <c r="C51" s="15" t="s">
        <v>23</v>
      </c>
      <c r="D51" s="10" t="s">
        <v>70</v>
      </c>
      <c r="E51" s="13" t="s">
        <v>73</v>
      </c>
      <c r="F51" s="8" t="s">
        <v>74</v>
      </c>
      <c r="G51" s="7" t="str">
        <f t="array" ref="G51">IF(OR(C51="",F51=""),"",IFERROR(_xlfn.XLOOKUP(1, (INDEX(Emission_Factor_Unit,,1)=C51)*(INDEX(Emission_Factor_Unit,,2)=F51), INDEX(Emission_Factor_Unit,,4)),""))</f>
        <v>km</v>
      </c>
      <c r="H51" s="5">
        <v>1000</v>
      </c>
      <c r="I51" s="5">
        <v>1000</v>
      </c>
      <c r="J51" s="5">
        <v>1000</v>
      </c>
      <c r="K51" s="5">
        <v>1000</v>
      </c>
      <c r="L51" s="5">
        <v>1000</v>
      </c>
      <c r="M51" s="5">
        <v>1000</v>
      </c>
      <c r="N51" s="5">
        <v>1000</v>
      </c>
      <c r="O51" s="5">
        <v>1000</v>
      </c>
      <c r="P51" s="5">
        <v>1000</v>
      </c>
      <c r="Q51" s="5">
        <v>1000</v>
      </c>
      <c r="R51" s="5">
        <v>1000</v>
      </c>
      <c r="S51" s="5">
        <v>1000</v>
      </c>
      <c r="T51" s="5">
        <f t="shared" si="4"/>
        <v>12000</v>
      </c>
      <c r="U51" s="54">
        <v>1.444E-3</v>
      </c>
      <c r="V51" s="55">
        <v>0.72199999999999998</v>
      </c>
      <c r="W51" s="55">
        <v>0.72199999999999998</v>
      </c>
      <c r="X51" s="55">
        <v>0.72199999999999998</v>
      </c>
      <c r="Y51" s="55">
        <v>0.72199999999999998</v>
      </c>
      <c r="Z51" s="55">
        <v>0.72199999999999998</v>
      </c>
      <c r="AA51" s="55">
        <v>0.72199999999999998</v>
      </c>
      <c r="AB51" s="55">
        <v>0.72199999999999998</v>
      </c>
      <c r="AC51" s="55">
        <v>0.72199999999999998</v>
      </c>
      <c r="AD51" s="55">
        <v>0.72199999999999998</v>
      </c>
      <c r="AE51" s="55">
        <v>0.72199999999999998</v>
      </c>
      <c r="AF51" s="55">
        <v>0.72199999999999998</v>
      </c>
      <c r="AG51" s="55">
        <v>0.72199999999999998</v>
      </c>
      <c r="AH51" s="56">
        <v>8.6639999999999997</v>
      </c>
    </row>
    <row r="52" spans="1:34" hidden="1">
      <c r="A52" s="9" t="s">
        <v>28</v>
      </c>
      <c r="B52" s="14">
        <f t="shared" si="3"/>
        <v>44562</v>
      </c>
      <c r="C52" s="11" t="s">
        <v>118</v>
      </c>
      <c r="D52" s="10" t="s">
        <v>119</v>
      </c>
      <c r="E52" s="9" t="s">
        <v>120</v>
      </c>
      <c r="F52" s="10" t="s">
        <v>121</v>
      </c>
      <c r="G52" s="7" t="str">
        <f t="array" ref="G52">IF(OR(C52="",F52=""),"",IFERROR(_xlfn.XLOOKUP(1, (INDEX(Emission_Factor_Unit,,1)=C52)*(INDEX(Emission_Factor_Unit,,2)=F52), INDEX(Emission_Factor_Unit,,4)),""))</f>
        <v>km</v>
      </c>
      <c r="H52" s="5">
        <v>500</v>
      </c>
      <c r="I52" s="5">
        <v>500</v>
      </c>
      <c r="J52" s="5">
        <v>500</v>
      </c>
      <c r="K52" s="5">
        <v>500</v>
      </c>
      <c r="L52" s="5">
        <v>500</v>
      </c>
      <c r="M52" s="5">
        <v>500</v>
      </c>
      <c r="N52" s="5">
        <v>500</v>
      </c>
      <c r="O52" s="5">
        <v>500</v>
      </c>
      <c r="P52" s="5">
        <v>500</v>
      </c>
      <c r="Q52" s="5">
        <v>500</v>
      </c>
      <c r="R52" s="5">
        <v>500</v>
      </c>
      <c r="S52" s="5">
        <v>500</v>
      </c>
      <c r="T52" s="5">
        <f t="shared" si="4"/>
        <v>6000</v>
      </c>
      <c r="U52" s="54">
        <v>5.0489999999999997E-3</v>
      </c>
      <c r="V52" s="55">
        <v>0.15146999999999999</v>
      </c>
      <c r="W52" s="55">
        <v>0.15146999999999999</v>
      </c>
      <c r="X52" s="55">
        <v>0.15146999999999999</v>
      </c>
      <c r="Y52" s="55">
        <v>0.15146999999999999</v>
      </c>
      <c r="Z52" s="55">
        <v>0.15146999999999999</v>
      </c>
      <c r="AA52" s="55">
        <v>0.15146999999999999</v>
      </c>
      <c r="AB52" s="55">
        <v>0.15146999999999999</v>
      </c>
      <c r="AC52" s="55">
        <v>0.15146999999999999</v>
      </c>
      <c r="AD52" s="55">
        <v>0.15146999999999999</v>
      </c>
      <c r="AE52" s="55">
        <v>0.15146999999999999</v>
      </c>
      <c r="AF52" s="55">
        <v>0.15146999999999999</v>
      </c>
      <c r="AG52" s="55">
        <v>0.15146999999999999</v>
      </c>
      <c r="AH52" s="56">
        <v>1.8176399999999999</v>
      </c>
    </row>
    <row r="53" spans="1:34" hidden="1">
      <c r="A53" s="9" t="s">
        <v>28</v>
      </c>
      <c r="B53" s="14">
        <f t="shared" si="3"/>
        <v>44562</v>
      </c>
      <c r="C53" s="11" t="s">
        <v>118</v>
      </c>
      <c r="D53" s="10" t="s">
        <v>119</v>
      </c>
      <c r="E53" s="9" t="s">
        <v>122</v>
      </c>
      <c r="F53" s="10" t="s">
        <v>123</v>
      </c>
      <c r="G53" s="7" t="str">
        <f t="array" ref="G53">IF(OR(C53="",F53=""),"",IFERROR(_xlfn.XLOOKUP(1, (INDEX(Emission_Factor_Unit,,1)=C53)*(INDEX(Emission_Factor_Unit,,2)=F53), INDEX(Emission_Factor_Unit,,4)),""))</f>
        <v>km</v>
      </c>
      <c r="H53" s="5">
        <v>30</v>
      </c>
      <c r="I53" s="5">
        <v>30</v>
      </c>
      <c r="J53" s="5">
        <v>30</v>
      </c>
      <c r="K53" s="5">
        <v>30</v>
      </c>
      <c r="L53" s="5">
        <v>30</v>
      </c>
      <c r="M53" s="5">
        <v>30</v>
      </c>
      <c r="N53" s="5">
        <v>30</v>
      </c>
      <c r="O53" s="5">
        <v>30</v>
      </c>
      <c r="P53" s="5">
        <v>30</v>
      </c>
      <c r="Q53" s="5">
        <v>30</v>
      </c>
      <c r="R53" s="5">
        <v>30</v>
      </c>
      <c r="S53" s="5">
        <v>30</v>
      </c>
      <c r="T53" s="5">
        <f t="shared" si="4"/>
        <v>360</v>
      </c>
      <c r="U53" s="54">
        <v>1.444E-3</v>
      </c>
      <c r="V53" s="55">
        <v>0.72199999999999998</v>
      </c>
      <c r="W53" s="55">
        <v>0.72199999999999998</v>
      </c>
      <c r="X53" s="55">
        <v>0.72199999999999998</v>
      </c>
      <c r="Y53" s="55">
        <v>0.72199999999999998</v>
      </c>
      <c r="Z53" s="55">
        <v>0.72199999999999998</v>
      </c>
      <c r="AA53" s="55">
        <v>0.72199999999999998</v>
      </c>
      <c r="AB53" s="55">
        <v>0.72199999999999998</v>
      </c>
      <c r="AC53" s="55">
        <v>0.72199999999999998</v>
      </c>
      <c r="AD53" s="55">
        <v>0.72199999999999998</v>
      </c>
      <c r="AE53" s="55">
        <v>0.72199999999999998</v>
      </c>
      <c r="AF53" s="55">
        <v>0.72199999999999998</v>
      </c>
      <c r="AG53" s="55">
        <v>0.72199999999999998</v>
      </c>
      <c r="AH53" s="56">
        <v>8.6639999999999997</v>
      </c>
    </row>
    <row r="54" spans="1:34" hidden="1">
      <c r="A54" s="9" t="s">
        <v>35</v>
      </c>
      <c r="B54" s="14">
        <f t="shared" si="3"/>
        <v>44562</v>
      </c>
      <c r="C54" s="11" t="s">
        <v>118</v>
      </c>
      <c r="D54" s="10" t="s">
        <v>119</v>
      </c>
      <c r="E54" s="9" t="s">
        <v>124</v>
      </c>
      <c r="F54" s="10" t="s">
        <v>121</v>
      </c>
      <c r="G54" s="7" t="str">
        <f t="array" ref="G54">IF(OR(C54="",F54=""),"",IFERROR(_xlfn.XLOOKUP(1, (INDEX(Emission_Factor_Unit,,1)=C54)*(INDEX(Emission_Factor_Unit,,2)=F54), INDEX(Emission_Factor_Unit,,4)),""))</f>
        <v>km</v>
      </c>
      <c r="H54" s="5">
        <v>500</v>
      </c>
      <c r="I54" s="5">
        <v>500</v>
      </c>
      <c r="J54" s="5">
        <v>500</v>
      </c>
      <c r="K54" s="5">
        <v>500</v>
      </c>
      <c r="L54" s="5">
        <v>500</v>
      </c>
      <c r="M54" s="5">
        <v>500</v>
      </c>
      <c r="N54" s="5">
        <v>500</v>
      </c>
      <c r="O54" s="5">
        <v>500</v>
      </c>
      <c r="P54" s="5">
        <v>500</v>
      </c>
      <c r="Q54" s="5">
        <v>500</v>
      </c>
      <c r="R54" s="5">
        <v>500</v>
      </c>
      <c r="S54" s="5">
        <v>500</v>
      </c>
      <c r="T54" s="5">
        <f t="shared" si="4"/>
        <v>6000</v>
      </c>
      <c r="U54" s="54">
        <v>5.0489999999999997E-3</v>
      </c>
      <c r="V54" s="55">
        <v>0.30293999999999999</v>
      </c>
      <c r="W54" s="55">
        <v>0.30293999999999999</v>
      </c>
      <c r="X54" s="55">
        <v>0.30293999999999999</v>
      </c>
      <c r="Y54" s="55">
        <v>0.30293999999999999</v>
      </c>
      <c r="Z54" s="55">
        <v>0.30293999999999999</v>
      </c>
      <c r="AA54" s="55">
        <v>0.30293999999999999</v>
      </c>
      <c r="AB54" s="55">
        <v>0.30293999999999999</v>
      </c>
      <c r="AC54" s="55">
        <v>0.30293999999999999</v>
      </c>
      <c r="AD54" s="55">
        <v>0.30293999999999999</v>
      </c>
      <c r="AE54" s="55">
        <v>0.30293999999999999</v>
      </c>
      <c r="AF54" s="55">
        <v>0.30293999999999999</v>
      </c>
      <c r="AG54" s="55">
        <v>0.30293999999999999</v>
      </c>
      <c r="AH54" s="56">
        <v>3.6352799999999998</v>
      </c>
    </row>
    <row r="55" spans="1:34" hidden="1">
      <c r="A55" s="9" t="s">
        <v>35</v>
      </c>
      <c r="B55" s="14">
        <f t="shared" si="3"/>
        <v>44562</v>
      </c>
      <c r="C55" s="11" t="s">
        <v>118</v>
      </c>
      <c r="D55" s="10" t="s">
        <v>119</v>
      </c>
      <c r="E55" s="9" t="s">
        <v>125</v>
      </c>
      <c r="F55" s="10" t="s">
        <v>123</v>
      </c>
      <c r="G55" s="7" t="str">
        <f t="array" ref="G55">IF(OR(C55="",F55=""),"",IFERROR(_xlfn.XLOOKUP(1, (INDEX(Emission_Factor_Unit,,1)=C55)*(INDEX(Emission_Factor_Unit,,2)=F55), INDEX(Emission_Factor_Unit,,4)),""))</f>
        <v>km</v>
      </c>
      <c r="H55" s="5">
        <v>60</v>
      </c>
      <c r="I55" s="5">
        <v>60</v>
      </c>
      <c r="J55" s="5">
        <v>60</v>
      </c>
      <c r="K55" s="5">
        <v>60</v>
      </c>
      <c r="L55" s="5">
        <v>60</v>
      </c>
      <c r="M55" s="5">
        <v>60</v>
      </c>
      <c r="N55" s="5">
        <v>60</v>
      </c>
      <c r="O55" s="5">
        <v>60</v>
      </c>
      <c r="P55" s="5">
        <v>60</v>
      </c>
      <c r="Q55" s="5">
        <v>60</v>
      </c>
      <c r="R55" s="5">
        <v>60</v>
      </c>
      <c r="S55" s="5">
        <v>60</v>
      </c>
      <c r="T55" s="5">
        <f t="shared" si="4"/>
        <v>720</v>
      </c>
      <c r="U55" s="54">
        <v>1.444E-3</v>
      </c>
      <c r="V55" s="55">
        <v>0.72199999999999998</v>
      </c>
      <c r="W55" s="55">
        <v>0.72199999999999998</v>
      </c>
      <c r="X55" s="55">
        <v>0.72199999999999998</v>
      </c>
      <c r="Y55" s="55">
        <v>0.72199999999999998</v>
      </c>
      <c r="Z55" s="55">
        <v>0.72199999999999998</v>
      </c>
      <c r="AA55" s="55">
        <v>0.72199999999999998</v>
      </c>
      <c r="AB55" s="55">
        <v>0.72199999999999998</v>
      </c>
      <c r="AC55" s="55">
        <v>0.72199999999999998</v>
      </c>
      <c r="AD55" s="55">
        <v>0.72199999999999998</v>
      </c>
      <c r="AE55" s="55">
        <v>0.72199999999999998</v>
      </c>
      <c r="AF55" s="55">
        <v>0.72199999999999998</v>
      </c>
      <c r="AG55" s="55">
        <v>0.72199999999999998</v>
      </c>
      <c r="AH55" s="56">
        <v>8.6639999999999997</v>
      </c>
    </row>
    <row r="56" spans="1:34" hidden="1">
      <c r="A56" s="9" t="s">
        <v>37</v>
      </c>
      <c r="B56" s="14">
        <f t="shared" si="3"/>
        <v>44562</v>
      </c>
      <c r="C56" s="11" t="s">
        <v>118</v>
      </c>
      <c r="D56" s="10" t="s">
        <v>119</v>
      </c>
      <c r="E56" s="9" t="s">
        <v>126</v>
      </c>
      <c r="F56" s="10" t="s">
        <v>121</v>
      </c>
      <c r="G56" s="7" t="str">
        <f t="array" ref="G56">IF(OR(C56="",F56=""),"",IFERROR(_xlfn.XLOOKUP(1, (INDEX(Emission_Factor_Unit,,1)=C56)*(INDEX(Emission_Factor_Unit,,2)=F56), INDEX(Emission_Factor_Unit,,4)),""))</f>
        <v>km</v>
      </c>
      <c r="H56" s="5">
        <v>500</v>
      </c>
      <c r="I56" s="5">
        <v>500</v>
      </c>
      <c r="J56" s="5">
        <v>500</v>
      </c>
      <c r="K56" s="5">
        <v>500</v>
      </c>
      <c r="L56" s="5">
        <v>500</v>
      </c>
      <c r="M56" s="5">
        <v>500</v>
      </c>
      <c r="N56" s="5">
        <v>500</v>
      </c>
      <c r="O56" s="5">
        <v>500</v>
      </c>
      <c r="P56" s="5">
        <v>500</v>
      </c>
      <c r="Q56" s="5">
        <v>500</v>
      </c>
      <c r="R56" s="5">
        <v>500</v>
      </c>
      <c r="S56" s="5">
        <v>500</v>
      </c>
      <c r="T56" s="5">
        <f t="shared" si="4"/>
        <v>6000</v>
      </c>
      <c r="U56" s="54">
        <v>5.0489999999999997E-3</v>
      </c>
      <c r="V56" s="55">
        <v>0.30293999999999999</v>
      </c>
      <c r="W56" s="55">
        <v>0.30293999999999999</v>
      </c>
      <c r="X56" s="55">
        <v>0.30293999999999999</v>
      </c>
      <c r="Y56" s="55">
        <v>0.30293999999999999</v>
      </c>
      <c r="Z56" s="55">
        <v>0.30293999999999999</v>
      </c>
      <c r="AA56" s="55">
        <v>0.30293999999999999</v>
      </c>
      <c r="AB56" s="55">
        <v>0.30293999999999999</v>
      </c>
      <c r="AC56" s="55">
        <v>0.30293999999999999</v>
      </c>
      <c r="AD56" s="55">
        <v>0.30293999999999999</v>
      </c>
      <c r="AE56" s="55">
        <v>0.30293999999999999</v>
      </c>
      <c r="AF56" s="55">
        <v>0.30293999999999999</v>
      </c>
      <c r="AG56" s="55">
        <v>0.30293999999999999</v>
      </c>
      <c r="AH56" s="56">
        <v>3.6352799999999998</v>
      </c>
    </row>
    <row r="57" spans="1:34" hidden="1">
      <c r="A57" s="9" t="s">
        <v>37</v>
      </c>
      <c r="B57" s="14">
        <f t="shared" si="3"/>
        <v>44562</v>
      </c>
      <c r="C57" s="11" t="s">
        <v>118</v>
      </c>
      <c r="D57" s="10" t="s">
        <v>119</v>
      </c>
      <c r="E57" s="9" t="s">
        <v>127</v>
      </c>
      <c r="F57" s="10" t="s">
        <v>123</v>
      </c>
      <c r="G57" s="7" t="str">
        <f t="array" ref="G57">IF(OR(C57="",F57=""),"",IFERROR(_xlfn.XLOOKUP(1, (INDEX(Emission_Factor_Unit,,1)=C57)*(INDEX(Emission_Factor_Unit,,2)=F57), INDEX(Emission_Factor_Unit,,4)),""))</f>
        <v>km</v>
      </c>
      <c r="H57" s="5">
        <v>60</v>
      </c>
      <c r="I57" s="5">
        <v>60</v>
      </c>
      <c r="J57" s="5">
        <v>60</v>
      </c>
      <c r="K57" s="5">
        <v>60</v>
      </c>
      <c r="L57" s="5">
        <v>60</v>
      </c>
      <c r="M57" s="5">
        <v>60</v>
      </c>
      <c r="N57" s="5">
        <v>60</v>
      </c>
      <c r="O57" s="5">
        <v>60</v>
      </c>
      <c r="P57" s="5">
        <v>60</v>
      </c>
      <c r="Q57" s="5">
        <v>60</v>
      </c>
      <c r="R57" s="5">
        <v>60</v>
      </c>
      <c r="S57" s="5">
        <v>60</v>
      </c>
      <c r="T57" s="5">
        <f t="shared" si="4"/>
        <v>720</v>
      </c>
      <c r="U57" s="54">
        <v>5.6450000000000001E-4</v>
      </c>
      <c r="V57" s="55">
        <v>6.7739999999999995E-2</v>
      </c>
      <c r="W57" s="55">
        <v>6.7739999999999995E-2</v>
      </c>
      <c r="X57" s="55">
        <v>6.7739999999999995E-2</v>
      </c>
      <c r="Y57" s="55">
        <v>6.7739999999999995E-2</v>
      </c>
      <c r="Z57" s="55">
        <v>6.7739999999999995E-2</v>
      </c>
      <c r="AA57" s="55">
        <v>6.7739999999999995E-2</v>
      </c>
      <c r="AB57" s="55">
        <v>6.7739999999999995E-2</v>
      </c>
      <c r="AC57" s="55">
        <v>6.7739999999999995E-2</v>
      </c>
      <c r="AD57" s="55">
        <v>6.7739999999999995E-2</v>
      </c>
      <c r="AE57" s="55">
        <v>6.7739999999999995E-2</v>
      </c>
      <c r="AF57" s="55">
        <v>6.7739999999999995E-2</v>
      </c>
      <c r="AG57" s="55">
        <v>6.7739999999999995E-2</v>
      </c>
      <c r="AH57" s="56">
        <v>0.81288000000000005</v>
      </c>
    </row>
    <row r="58" spans="1:34" hidden="1">
      <c r="A58" s="9" t="s">
        <v>42</v>
      </c>
      <c r="B58" s="14">
        <f t="shared" si="3"/>
        <v>44562</v>
      </c>
      <c r="C58" s="11" t="s">
        <v>118</v>
      </c>
      <c r="D58" s="10" t="s">
        <v>119</v>
      </c>
      <c r="E58" s="9" t="s">
        <v>128</v>
      </c>
      <c r="F58" s="10" t="s">
        <v>129</v>
      </c>
      <c r="G58" s="7" t="str">
        <f t="array" ref="G58">IF(OR(C58="",F58=""),"",IFERROR(_xlfn.XLOOKUP(1, (INDEX(Emission_Factor_Unit,,1)=C58)*(INDEX(Emission_Factor_Unit,,2)=F58), INDEX(Emission_Factor_Unit,,4)),""))</f>
        <v>km</v>
      </c>
      <c r="H58" s="5">
        <v>120</v>
      </c>
      <c r="I58" s="5">
        <v>120</v>
      </c>
      <c r="J58" s="5">
        <v>120</v>
      </c>
      <c r="K58" s="5">
        <v>120</v>
      </c>
      <c r="L58" s="5">
        <v>120</v>
      </c>
      <c r="M58" s="5">
        <v>120</v>
      </c>
      <c r="N58" s="5">
        <v>120</v>
      </c>
      <c r="O58" s="5">
        <v>120</v>
      </c>
      <c r="P58" s="5">
        <v>120</v>
      </c>
      <c r="Q58" s="5">
        <v>120</v>
      </c>
      <c r="R58" s="5">
        <v>120</v>
      </c>
      <c r="S58" s="5">
        <v>120</v>
      </c>
      <c r="T58" s="5">
        <f t="shared" si="4"/>
        <v>1440</v>
      </c>
      <c r="U58" s="54">
        <v>5.6450000000000001E-4</v>
      </c>
      <c r="V58" s="55">
        <v>6.7739999999999995E-2</v>
      </c>
      <c r="W58" s="55">
        <v>6.7739999999999995E-2</v>
      </c>
      <c r="X58" s="55">
        <v>6.7739999999999995E-2</v>
      </c>
      <c r="Y58" s="55">
        <v>6.7739999999999995E-2</v>
      </c>
      <c r="Z58" s="55">
        <v>6.7739999999999995E-2</v>
      </c>
      <c r="AA58" s="55">
        <v>6.7739999999999995E-2</v>
      </c>
      <c r="AB58" s="55">
        <v>6.7739999999999995E-2</v>
      </c>
      <c r="AC58" s="55">
        <v>6.7739999999999995E-2</v>
      </c>
      <c r="AD58" s="55">
        <v>6.7739999999999995E-2</v>
      </c>
      <c r="AE58" s="55">
        <v>6.7739999999999995E-2</v>
      </c>
      <c r="AF58" s="55">
        <v>6.7739999999999995E-2</v>
      </c>
      <c r="AG58" s="55">
        <v>6.7739999999999995E-2</v>
      </c>
      <c r="AH58" s="56">
        <v>0.81288000000000005</v>
      </c>
    </row>
    <row r="59" spans="1:34" hidden="1">
      <c r="A59" s="9" t="s">
        <v>42</v>
      </c>
      <c r="B59" s="14">
        <f t="shared" si="3"/>
        <v>44562</v>
      </c>
      <c r="C59" s="11" t="s">
        <v>118</v>
      </c>
      <c r="D59" s="10" t="s">
        <v>119</v>
      </c>
      <c r="E59" s="9" t="s">
        <v>130</v>
      </c>
      <c r="F59" s="10" t="s">
        <v>129</v>
      </c>
      <c r="G59" s="7" t="str">
        <f t="array" ref="G59">IF(OR(C59="",F59=""),"",IFERROR(_xlfn.XLOOKUP(1, (INDEX(Emission_Factor_Unit,,1)=C59)*(INDEX(Emission_Factor_Unit,,2)=F59), INDEX(Emission_Factor_Unit,,4)),""))</f>
        <v>km</v>
      </c>
      <c r="H59" s="5">
        <v>120</v>
      </c>
      <c r="I59" s="5">
        <v>120</v>
      </c>
      <c r="J59" s="5">
        <v>120</v>
      </c>
      <c r="K59" s="5">
        <v>120</v>
      </c>
      <c r="L59" s="5">
        <v>120</v>
      </c>
      <c r="M59" s="5">
        <v>120</v>
      </c>
      <c r="N59" s="5">
        <v>120</v>
      </c>
      <c r="O59" s="5">
        <v>120</v>
      </c>
      <c r="P59" s="5">
        <v>120</v>
      </c>
      <c r="Q59" s="5">
        <v>120</v>
      </c>
      <c r="R59" s="5">
        <v>120</v>
      </c>
      <c r="S59" s="5">
        <v>120</v>
      </c>
      <c r="T59" s="5">
        <f t="shared" si="4"/>
        <v>1440</v>
      </c>
      <c r="U59" s="54">
        <v>9.1949999999999996E-4</v>
      </c>
      <c r="V59" s="55">
        <v>919.5</v>
      </c>
      <c r="W59" s="55">
        <v>919.5</v>
      </c>
      <c r="X59" s="55">
        <v>919.5</v>
      </c>
      <c r="Y59" s="55">
        <v>919.5</v>
      </c>
      <c r="Z59" s="55">
        <v>919.5</v>
      </c>
      <c r="AA59" s="55">
        <v>919.5</v>
      </c>
      <c r="AB59" s="55">
        <v>919.5</v>
      </c>
      <c r="AC59" s="55">
        <v>919.5</v>
      </c>
      <c r="AD59" s="55">
        <v>919.5</v>
      </c>
      <c r="AE59" s="55">
        <v>919.5</v>
      </c>
      <c r="AF59" s="55">
        <v>919.5</v>
      </c>
      <c r="AG59" s="55">
        <v>919.5</v>
      </c>
      <c r="AH59" s="56">
        <v>11034</v>
      </c>
    </row>
    <row r="60" spans="1:34" hidden="1">
      <c r="A60" s="9" t="s">
        <v>55</v>
      </c>
      <c r="B60" s="14">
        <f t="shared" si="3"/>
        <v>44562</v>
      </c>
      <c r="C60" s="11" t="s">
        <v>118</v>
      </c>
      <c r="D60" s="10" t="s">
        <v>119</v>
      </c>
      <c r="E60" s="9" t="s">
        <v>131</v>
      </c>
      <c r="F60" s="10" t="s">
        <v>132</v>
      </c>
      <c r="G60" s="7" t="str">
        <f t="array" ref="G60">IF(OR(C60="",F60=""),"",IFERROR(_xlfn.XLOOKUP(1, (INDEX(Emission_Factor_Unit,,1)=C60)*(INDEX(Emission_Factor_Unit,,2)=F60), INDEX(Emission_Factor_Unit,,4)),""))</f>
        <v>km</v>
      </c>
      <c r="H60" s="5">
        <v>1000000</v>
      </c>
      <c r="I60" s="5">
        <v>1000000</v>
      </c>
      <c r="J60" s="5">
        <v>1000000</v>
      </c>
      <c r="K60" s="5">
        <v>1000000</v>
      </c>
      <c r="L60" s="5">
        <v>1000000</v>
      </c>
      <c r="M60" s="5">
        <v>1000000</v>
      </c>
      <c r="N60" s="5">
        <v>1000000</v>
      </c>
      <c r="O60" s="5">
        <v>1000000</v>
      </c>
      <c r="P60" s="5">
        <v>1000000</v>
      </c>
      <c r="Q60" s="5">
        <v>1000000</v>
      </c>
      <c r="R60" s="5">
        <v>1000000</v>
      </c>
      <c r="S60" s="5">
        <v>1000000</v>
      </c>
      <c r="T60" s="5">
        <f t="shared" si="4"/>
        <v>12000000</v>
      </c>
      <c r="U60" s="54">
        <v>9.8539999999999999E-4</v>
      </c>
      <c r="V60" s="55">
        <v>985.4</v>
      </c>
      <c r="W60" s="55">
        <v>985.4</v>
      </c>
      <c r="X60" s="55">
        <v>985.4</v>
      </c>
      <c r="Y60" s="55">
        <v>985.4</v>
      </c>
      <c r="Z60" s="55">
        <v>985.4</v>
      </c>
      <c r="AA60" s="55">
        <v>985.4</v>
      </c>
      <c r="AB60" s="55">
        <v>985.4</v>
      </c>
      <c r="AC60" s="55">
        <v>985.4</v>
      </c>
      <c r="AD60" s="55">
        <v>985.4</v>
      </c>
      <c r="AE60" s="55">
        <v>985.4</v>
      </c>
      <c r="AF60" s="55">
        <v>985.4</v>
      </c>
      <c r="AG60" s="55">
        <v>985.4</v>
      </c>
      <c r="AH60" s="56">
        <v>11824.8</v>
      </c>
    </row>
    <row r="61" spans="1:34" hidden="1">
      <c r="A61" s="13" t="s">
        <v>55</v>
      </c>
      <c r="B61" s="12">
        <f t="shared" si="3"/>
        <v>44562</v>
      </c>
      <c r="C61" s="11" t="s">
        <v>118</v>
      </c>
      <c r="D61" s="10" t="s">
        <v>119</v>
      </c>
      <c r="E61" s="9" t="s">
        <v>133</v>
      </c>
      <c r="F61" s="8" t="s">
        <v>134</v>
      </c>
      <c r="G61" s="7" t="str">
        <f t="array" ref="G61">IF(OR(C61="",F61=""),"",IFERROR(_xlfn.XLOOKUP(1, (INDEX(Emission_Factor_Unit,,1)=C61)*(INDEX(Emission_Factor_Unit,,2)=F61), INDEX(Emission_Factor_Unit,,4)),""))</f>
        <v>km</v>
      </c>
      <c r="H61" s="5">
        <v>1000000</v>
      </c>
      <c r="I61" s="5">
        <v>1000000</v>
      </c>
      <c r="J61" s="5">
        <v>1000000</v>
      </c>
      <c r="K61" s="5">
        <v>1000000</v>
      </c>
      <c r="L61" s="5">
        <v>1000000</v>
      </c>
      <c r="M61" s="5">
        <v>1000000</v>
      </c>
      <c r="N61" s="5">
        <v>1000000</v>
      </c>
      <c r="O61" s="5">
        <v>1000000</v>
      </c>
      <c r="P61" s="5">
        <v>1000000</v>
      </c>
      <c r="Q61" s="5">
        <v>1000000</v>
      </c>
      <c r="R61" s="5">
        <v>1000000</v>
      </c>
      <c r="S61" s="5">
        <v>1000000</v>
      </c>
      <c r="T61" s="5">
        <f t="shared" si="4"/>
        <v>12000000</v>
      </c>
      <c r="U61" s="54">
        <v>1.444E-3</v>
      </c>
      <c r="V61" s="55">
        <v>2.1659999999999999E-2</v>
      </c>
      <c r="W61" s="55">
        <v>2.1659999999999999E-2</v>
      </c>
      <c r="X61" s="55">
        <v>2.1659999999999999E-2</v>
      </c>
      <c r="Y61" s="55">
        <v>2.1659999999999999E-2</v>
      </c>
      <c r="Z61" s="55">
        <v>2.1659999999999999E-2</v>
      </c>
      <c r="AA61" s="55">
        <v>2.1659999999999999E-2</v>
      </c>
      <c r="AB61" s="55">
        <v>2.1659999999999999E-2</v>
      </c>
      <c r="AC61" s="55">
        <v>2.1659999999999999E-2</v>
      </c>
      <c r="AD61" s="55">
        <v>2.1659999999999999E-2</v>
      </c>
      <c r="AE61" s="55">
        <v>2.1659999999999999E-2</v>
      </c>
      <c r="AF61" s="55">
        <v>2.1659999999999999E-2</v>
      </c>
      <c r="AG61" s="55">
        <v>2.1659999999999999E-2</v>
      </c>
      <c r="AH61" s="56">
        <v>0.25991999999999998</v>
      </c>
    </row>
    <row r="62" spans="1:34" hidden="1">
      <c r="A62" s="9" t="s">
        <v>28</v>
      </c>
      <c r="B62" s="14">
        <f t="shared" si="3"/>
        <v>44562</v>
      </c>
      <c r="C62" s="11" t="s">
        <v>118</v>
      </c>
      <c r="D62" s="10" t="s">
        <v>135</v>
      </c>
      <c r="E62" s="9" t="s">
        <v>120</v>
      </c>
      <c r="F62" s="10" t="s">
        <v>121</v>
      </c>
      <c r="G62" s="7" t="str">
        <f t="array" ref="G62">IF(OR(C62="",F62=""),"",IFERROR(_xlfn.XLOOKUP(1, (INDEX(Emission_Factor_Unit,,1)=C62)*(INDEX(Emission_Factor_Unit,,2)=F62), INDEX(Emission_Factor_Unit,,4)),""))</f>
        <v>km</v>
      </c>
      <c r="H62" s="5">
        <v>15</v>
      </c>
      <c r="I62" s="5">
        <v>15</v>
      </c>
      <c r="J62" s="5">
        <v>15</v>
      </c>
      <c r="K62" s="5">
        <v>15</v>
      </c>
      <c r="L62" s="5">
        <v>15</v>
      </c>
      <c r="M62" s="5">
        <v>15</v>
      </c>
      <c r="N62" s="5">
        <v>15</v>
      </c>
      <c r="O62" s="5">
        <v>15</v>
      </c>
      <c r="P62" s="5">
        <v>15</v>
      </c>
      <c r="Q62" s="5">
        <v>15</v>
      </c>
      <c r="R62" s="5">
        <v>15</v>
      </c>
      <c r="S62" s="5">
        <v>15</v>
      </c>
      <c r="T62" s="5">
        <f t="shared" si="4"/>
        <v>180</v>
      </c>
      <c r="U62" s="54">
        <v>5.0489999999999997E-3</v>
      </c>
      <c r="V62" s="55">
        <v>3.5342999999999999E-2</v>
      </c>
      <c r="W62" s="55">
        <v>3.5342999999999999E-2</v>
      </c>
      <c r="X62" s="55">
        <v>3.5342999999999999E-2</v>
      </c>
      <c r="Y62" s="55">
        <v>3.5342999999999999E-2</v>
      </c>
      <c r="Z62" s="55">
        <v>3.5342999999999999E-2</v>
      </c>
      <c r="AA62" s="55">
        <v>3.5342999999999999E-2</v>
      </c>
      <c r="AB62" s="55">
        <v>3.5342999999999999E-2</v>
      </c>
      <c r="AC62" s="55">
        <v>3.5342999999999999E-2</v>
      </c>
      <c r="AD62" s="55">
        <v>3.5342999999999999E-2</v>
      </c>
      <c r="AE62" s="55">
        <v>3.5342999999999999E-2</v>
      </c>
      <c r="AF62" s="55">
        <v>3.5342999999999999E-2</v>
      </c>
      <c r="AG62" s="55">
        <v>3.5342999999999999E-2</v>
      </c>
      <c r="AH62" s="56">
        <v>0.42411599999999999</v>
      </c>
    </row>
    <row r="63" spans="1:34" hidden="1">
      <c r="A63" s="9" t="s">
        <v>28</v>
      </c>
      <c r="B63" s="14">
        <f t="shared" si="3"/>
        <v>44562</v>
      </c>
      <c r="C63" s="11" t="s">
        <v>118</v>
      </c>
      <c r="D63" s="10" t="s">
        <v>135</v>
      </c>
      <c r="E63" s="9" t="s">
        <v>122</v>
      </c>
      <c r="F63" s="10" t="s">
        <v>123</v>
      </c>
      <c r="G63" s="7" t="str">
        <f t="array" ref="G63">IF(OR(C63="",F63=""),"",IFERROR(_xlfn.XLOOKUP(1, (INDEX(Emission_Factor_Unit,,1)=C63)*(INDEX(Emission_Factor_Unit,,2)=F63), INDEX(Emission_Factor_Unit,,4)),""))</f>
        <v>km</v>
      </c>
      <c r="H63" s="5">
        <v>7</v>
      </c>
      <c r="I63" s="5">
        <v>7</v>
      </c>
      <c r="J63" s="5">
        <v>7</v>
      </c>
      <c r="K63" s="5">
        <v>7</v>
      </c>
      <c r="L63" s="5">
        <v>7</v>
      </c>
      <c r="M63" s="5">
        <v>7</v>
      </c>
      <c r="N63" s="5">
        <v>7</v>
      </c>
      <c r="O63" s="5">
        <v>7</v>
      </c>
      <c r="P63" s="5">
        <v>7</v>
      </c>
      <c r="Q63" s="5">
        <v>7</v>
      </c>
      <c r="R63" s="5">
        <v>7</v>
      </c>
      <c r="S63" s="5">
        <v>7</v>
      </c>
      <c r="T63" s="5">
        <f t="shared" si="4"/>
        <v>84</v>
      </c>
      <c r="U63" s="54">
        <v>1.444E-3</v>
      </c>
      <c r="V63" s="55">
        <v>2.5992000000000001E-2</v>
      </c>
      <c r="W63" s="55">
        <v>2.5992000000000001E-2</v>
      </c>
      <c r="X63" s="55">
        <v>2.5992000000000001E-2</v>
      </c>
      <c r="Y63" s="55">
        <v>2.5992000000000001E-2</v>
      </c>
      <c r="Z63" s="55">
        <v>2.5992000000000001E-2</v>
      </c>
      <c r="AA63" s="55">
        <v>2.5992000000000001E-2</v>
      </c>
      <c r="AB63" s="55">
        <v>2.5992000000000001E-2</v>
      </c>
      <c r="AC63" s="55">
        <v>2.5992000000000001E-2</v>
      </c>
      <c r="AD63" s="55">
        <v>2.5992000000000001E-2</v>
      </c>
      <c r="AE63" s="55">
        <v>2.5992000000000001E-2</v>
      </c>
      <c r="AF63" s="55">
        <v>2.5992000000000001E-2</v>
      </c>
      <c r="AG63" s="55">
        <v>2.5992000000000001E-2</v>
      </c>
      <c r="AH63" s="56">
        <v>0.31190400000000001</v>
      </c>
    </row>
    <row r="64" spans="1:34" hidden="1">
      <c r="A64" s="9" t="s">
        <v>35</v>
      </c>
      <c r="B64" s="14">
        <f t="shared" si="3"/>
        <v>44562</v>
      </c>
      <c r="C64" s="11" t="s">
        <v>118</v>
      </c>
      <c r="D64" s="10" t="s">
        <v>135</v>
      </c>
      <c r="E64" s="9" t="s">
        <v>124</v>
      </c>
      <c r="F64" s="10" t="s">
        <v>121</v>
      </c>
      <c r="G64" s="7" t="str">
        <f t="array" ref="G64">IF(OR(C64="",F64=""),"",IFERROR(_xlfn.XLOOKUP(1, (INDEX(Emission_Factor_Unit,,1)=C64)*(INDEX(Emission_Factor_Unit,,2)=F64), INDEX(Emission_Factor_Unit,,4)),""))</f>
        <v>km</v>
      </c>
      <c r="H64" s="5">
        <v>18</v>
      </c>
      <c r="I64" s="5">
        <v>18</v>
      </c>
      <c r="J64" s="5">
        <v>18</v>
      </c>
      <c r="K64" s="5">
        <v>18</v>
      </c>
      <c r="L64" s="5">
        <v>18</v>
      </c>
      <c r="M64" s="5">
        <v>18</v>
      </c>
      <c r="N64" s="5">
        <v>18</v>
      </c>
      <c r="O64" s="5">
        <v>18</v>
      </c>
      <c r="P64" s="5">
        <v>18</v>
      </c>
      <c r="Q64" s="5">
        <v>18</v>
      </c>
      <c r="R64" s="5">
        <v>18</v>
      </c>
      <c r="S64" s="5">
        <v>18</v>
      </c>
      <c r="T64" s="5">
        <f t="shared" si="4"/>
        <v>216</v>
      </c>
      <c r="U64" s="54">
        <v>1.444E-3</v>
      </c>
      <c r="V64" s="55">
        <v>2.4548E-2</v>
      </c>
      <c r="W64" s="55">
        <v>2.4548E-2</v>
      </c>
      <c r="X64" s="55">
        <v>2.4548E-2</v>
      </c>
      <c r="Y64" s="55">
        <v>2.4548E-2</v>
      </c>
      <c r="Z64" s="55">
        <v>2.4548E-2</v>
      </c>
      <c r="AA64" s="55">
        <v>2.4548E-2</v>
      </c>
      <c r="AB64" s="55">
        <v>2.4548E-2</v>
      </c>
      <c r="AC64" s="55">
        <v>2.4548E-2</v>
      </c>
      <c r="AD64" s="55">
        <v>2.4548E-2</v>
      </c>
      <c r="AE64" s="55">
        <v>2.4548E-2</v>
      </c>
      <c r="AF64" s="55">
        <v>2.4548E-2</v>
      </c>
      <c r="AG64" s="55">
        <v>2.4548E-2</v>
      </c>
      <c r="AH64" s="56">
        <v>0.294576</v>
      </c>
    </row>
    <row r="65" spans="1:34" hidden="1">
      <c r="A65" s="9" t="s">
        <v>35</v>
      </c>
      <c r="B65" s="14">
        <f t="shared" si="3"/>
        <v>44562</v>
      </c>
      <c r="C65" s="11" t="s">
        <v>118</v>
      </c>
      <c r="D65" s="10" t="s">
        <v>135</v>
      </c>
      <c r="E65" s="9" t="s">
        <v>125</v>
      </c>
      <c r="F65" s="10" t="s">
        <v>121</v>
      </c>
      <c r="G65" s="7" t="str">
        <f t="array" ref="G65">IF(OR(C65="",F65=""),"",IFERROR(_xlfn.XLOOKUP(1, (INDEX(Emission_Factor_Unit,,1)=C65)*(INDEX(Emission_Factor_Unit,,2)=F65), INDEX(Emission_Factor_Unit,,4)),""))</f>
        <v>km</v>
      </c>
      <c r="H65" s="5">
        <v>17</v>
      </c>
      <c r="I65" s="5">
        <v>17</v>
      </c>
      <c r="J65" s="5">
        <v>17</v>
      </c>
      <c r="K65" s="5">
        <v>17</v>
      </c>
      <c r="L65" s="5">
        <v>17</v>
      </c>
      <c r="M65" s="5">
        <v>17</v>
      </c>
      <c r="N65" s="5">
        <v>17</v>
      </c>
      <c r="O65" s="5">
        <v>17</v>
      </c>
      <c r="P65" s="5">
        <v>17</v>
      </c>
      <c r="Q65" s="5">
        <v>17</v>
      </c>
      <c r="R65" s="5">
        <v>17</v>
      </c>
      <c r="S65" s="5">
        <v>17</v>
      </c>
      <c r="T65" s="5">
        <f t="shared" si="4"/>
        <v>204</v>
      </c>
      <c r="U65" s="54">
        <v>5.0489999999999997E-3</v>
      </c>
      <c r="V65" s="55">
        <v>4.5441000000000002E-2</v>
      </c>
      <c r="W65" s="55">
        <v>4.5441000000000002E-2</v>
      </c>
      <c r="X65" s="55">
        <v>4.5441000000000002E-2</v>
      </c>
      <c r="Y65" s="55">
        <v>4.5441000000000002E-2</v>
      </c>
      <c r="Z65" s="55">
        <v>4.5441000000000002E-2</v>
      </c>
      <c r="AA65" s="55">
        <v>4.5441000000000002E-2</v>
      </c>
      <c r="AB65" s="55">
        <v>4.5441000000000002E-2</v>
      </c>
      <c r="AC65" s="55">
        <v>4.5441000000000002E-2</v>
      </c>
      <c r="AD65" s="55">
        <v>4.5441000000000002E-2</v>
      </c>
      <c r="AE65" s="55">
        <v>4.5441000000000002E-2</v>
      </c>
      <c r="AF65" s="55">
        <v>4.5441000000000002E-2</v>
      </c>
      <c r="AG65" s="55">
        <v>4.5441000000000002E-2</v>
      </c>
      <c r="AH65" s="56">
        <v>0.545292</v>
      </c>
    </row>
    <row r="66" spans="1:34" hidden="1">
      <c r="A66" s="9" t="s">
        <v>37</v>
      </c>
      <c r="B66" s="14">
        <f t="shared" si="3"/>
        <v>44562</v>
      </c>
      <c r="C66" s="11" t="s">
        <v>118</v>
      </c>
      <c r="D66" s="10" t="s">
        <v>135</v>
      </c>
      <c r="E66" s="9" t="s">
        <v>126</v>
      </c>
      <c r="F66" s="10" t="s">
        <v>123</v>
      </c>
      <c r="G66" s="7" t="str">
        <f t="array" ref="G66">IF(OR(C66="",F66=""),"",IFERROR(_xlfn.XLOOKUP(1, (INDEX(Emission_Factor_Unit,,1)=C66)*(INDEX(Emission_Factor_Unit,,2)=F66), INDEX(Emission_Factor_Unit,,4)),""))</f>
        <v>km</v>
      </c>
      <c r="H66" s="5">
        <v>9</v>
      </c>
      <c r="I66" s="5">
        <v>9</v>
      </c>
      <c r="J66" s="5">
        <v>9</v>
      </c>
      <c r="K66" s="5">
        <v>9</v>
      </c>
      <c r="L66" s="5">
        <v>9</v>
      </c>
      <c r="M66" s="5">
        <v>9</v>
      </c>
      <c r="N66" s="5">
        <v>9</v>
      </c>
      <c r="O66" s="5">
        <v>9</v>
      </c>
      <c r="P66" s="5">
        <v>9</v>
      </c>
      <c r="Q66" s="5">
        <v>9</v>
      </c>
      <c r="R66" s="5">
        <v>9</v>
      </c>
      <c r="S66" s="5">
        <v>9</v>
      </c>
      <c r="T66" s="5">
        <f t="shared" si="4"/>
        <v>108</v>
      </c>
      <c r="U66" s="54">
        <v>1.444E-3</v>
      </c>
      <c r="V66" s="55">
        <v>2.8879999999999999E-2</v>
      </c>
      <c r="W66" s="55">
        <v>2.8879999999999999E-2</v>
      </c>
      <c r="X66" s="55">
        <v>2.8879999999999999E-2</v>
      </c>
      <c r="Y66" s="55">
        <v>2.8879999999999999E-2</v>
      </c>
      <c r="Z66" s="55">
        <v>2.8879999999999999E-2</v>
      </c>
      <c r="AA66" s="55">
        <v>2.8879999999999999E-2</v>
      </c>
      <c r="AB66" s="55">
        <v>2.8879999999999999E-2</v>
      </c>
      <c r="AC66" s="55">
        <v>2.8879999999999999E-2</v>
      </c>
      <c r="AD66" s="55">
        <v>2.8879999999999999E-2</v>
      </c>
      <c r="AE66" s="55">
        <v>2.8879999999999999E-2</v>
      </c>
      <c r="AF66" s="55">
        <v>2.8879999999999999E-2</v>
      </c>
      <c r="AG66" s="55">
        <v>2.8879999999999999E-2</v>
      </c>
      <c r="AH66" s="56">
        <v>0.34655999999999998</v>
      </c>
    </row>
    <row r="67" spans="1:34" hidden="1">
      <c r="A67" s="9" t="s">
        <v>37</v>
      </c>
      <c r="B67" s="14">
        <f t="shared" si="3"/>
        <v>44562</v>
      </c>
      <c r="C67" s="11" t="s">
        <v>118</v>
      </c>
      <c r="D67" s="10" t="s">
        <v>135</v>
      </c>
      <c r="E67" s="9" t="s">
        <v>127</v>
      </c>
      <c r="F67" s="10" t="s">
        <v>121</v>
      </c>
      <c r="G67" s="7" t="str">
        <f t="array" ref="G67">IF(OR(C67="",F67=""),"",IFERROR(_xlfn.XLOOKUP(1, (INDEX(Emission_Factor_Unit,,1)=C67)*(INDEX(Emission_Factor_Unit,,2)=F67), INDEX(Emission_Factor_Unit,,4)),""))</f>
        <v>km</v>
      </c>
      <c r="H67" s="5">
        <v>20</v>
      </c>
      <c r="I67" s="5">
        <v>20</v>
      </c>
      <c r="J67" s="5">
        <v>20</v>
      </c>
      <c r="K67" s="5">
        <v>20</v>
      </c>
      <c r="L67" s="5">
        <v>20</v>
      </c>
      <c r="M67" s="5">
        <v>20</v>
      </c>
      <c r="N67" s="5">
        <v>20</v>
      </c>
      <c r="O67" s="5">
        <v>20</v>
      </c>
      <c r="P67" s="5">
        <v>20</v>
      </c>
      <c r="Q67" s="5">
        <v>20</v>
      </c>
      <c r="R67" s="5">
        <v>20</v>
      </c>
      <c r="S67" s="5">
        <v>20</v>
      </c>
      <c r="T67" s="5">
        <f t="shared" si="4"/>
        <v>240</v>
      </c>
      <c r="U67" s="54">
        <v>5.0489999999999997E-3</v>
      </c>
      <c r="V67" s="55">
        <v>4.0391999999999997E-2</v>
      </c>
      <c r="W67" s="55">
        <v>4.0391999999999997E-2</v>
      </c>
      <c r="X67" s="55">
        <v>4.0391999999999997E-2</v>
      </c>
      <c r="Y67" s="55">
        <v>4.0391999999999997E-2</v>
      </c>
      <c r="Z67" s="55">
        <v>4.0391999999999997E-2</v>
      </c>
      <c r="AA67" s="55">
        <v>4.0391999999999997E-2</v>
      </c>
      <c r="AB67" s="55">
        <v>4.0391999999999997E-2</v>
      </c>
      <c r="AC67" s="55">
        <v>4.0391999999999997E-2</v>
      </c>
      <c r="AD67" s="55">
        <v>4.0391999999999997E-2</v>
      </c>
      <c r="AE67" s="55">
        <v>4.0391999999999997E-2</v>
      </c>
      <c r="AF67" s="55">
        <v>4.0391999999999997E-2</v>
      </c>
      <c r="AG67" s="55">
        <v>4.0391999999999997E-2</v>
      </c>
      <c r="AH67" s="56">
        <v>0.48470400000000002</v>
      </c>
    </row>
    <row r="68" spans="1:34" hidden="1">
      <c r="A68" s="9" t="s">
        <v>42</v>
      </c>
      <c r="B68" s="14">
        <f t="shared" si="3"/>
        <v>44562</v>
      </c>
      <c r="C68" s="11" t="s">
        <v>118</v>
      </c>
      <c r="D68" s="10" t="s">
        <v>135</v>
      </c>
      <c r="E68" s="9" t="s">
        <v>128</v>
      </c>
      <c r="F68" s="10" t="s">
        <v>123</v>
      </c>
      <c r="G68" s="7" t="str">
        <f t="array" ref="G68">IF(OR(C68="",F68=""),"",IFERROR(_xlfn.XLOOKUP(1, (INDEX(Emission_Factor_Unit,,1)=C68)*(INDEX(Emission_Factor_Unit,,2)=F68), INDEX(Emission_Factor_Unit,,4)),""))</f>
        <v>km</v>
      </c>
      <c r="H68" s="5">
        <v>8</v>
      </c>
      <c r="I68" s="5">
        <v>8</v>
      </c>
      <c r="J68" s="5">
        <v>8</v>
      </c>
      <c r="K68" s="5">
        <v>8</v>
      </c>
      <c r="L68" s="5">
        <v>8</v>
      </c>
      <c r="M68" s="5">
        <v>8</v>
      </c>
      <c r="N68" s="5">
        <v>8</v>
      </c>
      <c r="O68" s="5">
        <v>8</v>
      </c>
      <c r="P68" s="5">
        <v>8</v>
      </c>
      <c r="Q68" s="5">
        <v>8</v>
      </c>
      <c r="R68" s="5">
        <v>8</v>
      </c>
      <c r="S68" s="5">
        <v>8</v>
      </c>
      <c r="T68" s="5">
        <f t="shared" si="4"/>
        <v>96</v>
      </c>
      <c r="U68" s="54">
        <v>1.444E-3</v>
      </c>
      <c r="V68" s="55">
        <v>3.0324E-2</v>
      </c>
      <c r="W68" s="55">
        <v>3.0324E-2</v>
      </c>
      <c r="X68" s="55">
        <v>3.0324E-2</v>
      </c>
      <c r="Y68" s="55">
        <v>3.0324E-2</v>
      </c>
      <c r="Z68" s="55">
        <v>3.0324E-2</v>
      </c>
      <c r="AA68" s="55">
        <v>3.0324E-2</v>
      </c>
      <c r="AB68" s="55">
        <v>3.0324E-2</v>
      </c>
      <c r="AC68" s="55">
        <v>3.0324E-2</v>
      </c>
      <c r="AD68" s="55">
        <v>3.0324E-2</v>
      </c>
      <c r="AE68" s="55">
        <v>3.0324E-2</v>
      </c>
      <c r="AF68" s="55">
        <v>3.0324E-2</v>
      </c>
      <c r="AG68" s="55">
        <v>3.0324E-2</v>
      </c>
      <c r="AH68" s="56">
        <v>0.36388799999999999</v>
      </c>
    </row>
    <row r="69" spans="1:34" hidden="1">
      <c r="A69" s="9" t="s">
        <v>42</v>
      </c>
      <c r="B69" s="14">
        <f t="shared" si="3"/>
        <v>44562</v>
      </c>
      <c r="C69" s="11" t="s">
        <v>118</v>
      </c>
      <c r="D69" s="10" t="s">
        <v>135</v>
      </c>
      <c r="E69" s="9" t="s">
        <v>130</v>
      </c>
      <c r="F69" s="10" t="s">
        <v>121</v>
      </c>
      <c r="G69" s="7" t="str">
        <f t="array" ref="G69">IF(OR(C69="",F69=""),"",IFERROR(_xlfn.XLOOKUP(1, (INDEX(Emission_Factor_Unit,,1)=C69)*(INDEX(Emission_Factor_Unit,,2)=F69), INDEX(Emission_Factor_Unit,,4)),""))</f>
        <v>km</v>
      </c>
      <c r="H69" s="5">
        <v>21</v>
      </c>
      <c r="I69" s="5">
        <v>21</v>
      </c>
      <c r="J69" s="5">
        <v>21</v>
      </c>
      <c r="K69" s="5">
        <v>21</v>
      </c>
      <c r="L69" s="5">
        <v>21</v>
      </c>
      <c r="M69" s="5">
        <v>21</v>
      </c>
      <c r="N69" s="5">
        <v>21</v>
      </c>
      <c r="O69" s="5">
        <v>21</v>
      </c>
      <c r="P69" s="5">
        <v>21</v>
      </c>
      <c r="Q69" s="5">
        <v>21</v>
      </c>
      <c r="R69" s="5">
        <v>21</v>
      </c>
      <c r="S69" s="5">
        <v>21</v>
      </c>
      <c r="T69" s="5">
        <f t="shared" si="4"/>
        <v>252</v>
      </c>
      <c r="U69" s="54">
        <v>5.0489999999999997E-3</v>
      </c>
      <c r="V69" s="55">
        <v>4.5441000000000002E-2</v>
      </c>
      <c r="W69" s="55">
        <v>4.5441000000000002E-2</v>
      </c>
      <c r="X69" s="55">
        <v>4.5441000000000002E-2</v>
      </c>
      <c r="Y69" s="55">
        <v>4.5441000000000002E-2</v>
      </c>
      <c r="Z69" s="55">
        <v>4.5441000000000002E-2</v>
      </c>
      <c r="AA69" s="55">
        <v>4.5441000000000002E-2</v>
      </c>
      <c r="AB69" s="55">
        <v>4.5441000000000002E-2</v>
      </c>
      <c r="AC69" s="55">
        <v>4.5441000000000002E-2</v>
      </c>
      <c r="AD69" s="55">
        <v>4.5441000000000002E-2</v>
      </c>
      <c r="AE69" s="55">
        <v>4.5441000000000002E-2</v>
      </c>
      <c r="AF69" s="55">
        <v>4.5441000000000002E-2</v>
      </c>
      <c r="AG69" s="55">
        <v>4.5441000000000002E-2</v>
      </c>
      <c r="AH69" s="56">
        <v>0.545292</v>
      </c>
    </row>
    <row r="70" spans="1:34" hidden="1">
      <c r="A70" s="9" t="s">
        <v>55</v>
      </c>
      <c r="B70" s="14">
        <f t="shared" ref="B70:B71" si="5">IF(A70="","",DATE($F$1,1,1))</f>
        <v>44562</v>
      </c>
      <c r="C70" s="11" t="s">
        <v>118</v>
      </c>
      <c r="D70" s="10" t="s">
        <v>135</v>
      </c>
      <c r="E70" s="9" t="s">
        <v>131</v>
      </c>
      <c r="F70" s="10" t="s">
        <v>123</v>
      </c>
      <c r="G70" s="7" t="str">
        <f t="array" ref="G70">IF(OR(C70="",F70=""),"",IFERROR(_xlfn.XLOOKUP(1, (INDEX(Emission_Factor_Unit,,1)=C70)*(INDEX(Emission_Factor_Unit,,2)=F70), INDEX(Emission_Factor_Unit,,4)),""))</f>
        <v>km</v>
      </c>
      <c r="H70" s="5">
        <v>9</v>
      </c>
      <c r="I70" s="5">
        <v>9</v>
      </c>
      <c r="J70" s="5">
        <v>9</v>
      </c>
      <c r="K70" s="5">
        <v>9</v>
      </c>
      <c r="L70" s="5">
        <v>9</v>
      </c>
      <c r="M70" s="5">
        <v>9</v>
      </c>
      <c r="N70" s="5">
        <v>9</v>
      </c>
      <c r="O70" s="5">
        <v>9</v>
      </c>
      <c r="P70" s="5">
        <v>9</v>
      </c>
      <c r="Q70" s="5">
        <v>9</v>
      </c>
      <c r="R70" s="5">
        <v>9</v>
      </c>
      <c r="S70" s="5">
        <v>9</v>
      </c>
      <c r="T70" s="5">
        <f t="shared" ref="T70:T71" si="6">IF(COUNT(H70:S70)=0, "", SUM(H70:S70))</f>
        <v>108</v>
      </c>
      <c r="U70" s="54">
        <v>5.6450000000000001E-4</v>
      </c>
      <c r="V70" s="55">
        <v>9.0320000000000001E-3</v>
      </c>
      <c r="W70" s="55">
        <v>9.0320000000000001E-3</v>
      </c>
      <c r="X70" s="55">
        <v>9.0320000000000001E-3</v>
      </c>
      <c r="Y70" s="55">
        <v>9.0320000000000001E-3</v>
      </c>
      <c r="Z70" s="55">
        <v>9.0320000000000001E-3</v>
      </c>
      <c r="AA70" s="55">
        <v>9.0320000000000001E-3</v>
      </c>
      <c r="AB70" s="55">
        <v>9.0320000000000001E-3</v>
      </c>
      <c r="AC70" s="55">
        <v>9.0320000000000001E-3</v>
      </c>
      <c r="AD70" s="55">
        <v>9.0320000000000001E-3</v>
      </c>
      <c r="AE70" s="55">
        <v>9.0320000000000001E-3</v>
      </c>
      <c r="AF70" s="55">
        <v>9.0320000000000001E-3</v>
      </c>
      <c r="AG70" s="55">
        <v>9.0320000000000001E-3</v>
      </c>
      <c r="AH70" s="56">
        <v>0.10838399999999999</v>
      </c>
    </row>
    <row r="71" spans="1:34" hidden="1">
      <c r="A71" s="13" t="s">
        <v>55</v>
      </c>
      <c r="B71" s="12">
        <f t="shared" si="5"/>
        <v>44562</v>
      </c>
      <c r="C71" s="11" t="s">
        <v>118</v>
      </c>
      <c r="D71" s="10" t="s">
        <v>135</v>
      </c>
      <c r="E71" s="9" t="s">
        <v>133</v>
      </c>
      <c r="F71" s="8" t="s">
        <v>129</v>
      </c>
      <c r="G71" s="7" t="str">
        <f t="array" ref="G71">IF(OR(C71="",F71=""),"",IFERROR(_xlfn.XLOOKUP(1, (INDEX(Emission_Factor_Unit,,1)=C71)*(INDEX(Emission_Factor_Unit,,2)=F71), INDEX(Emission_Factor_Unit,,4)),""))</f>
        <v>km</v>
      </c>
      <c r="H71" s="5">
        <v>16</v>
      </c>
      <c r="I71" s="5">
        <v>16</v>
      </c>
      <c r="J71" s="5">
        <v>16</v>
      </c>
      <c r="K71" s="5">
        <v>16</v>
      </c>
      <c r="L71" s="5">
        <v>16</v>
      </c>
      <c r="M71" s="5">
        <v>16</v>
      </c>
      <c r="N71" s="5">
        <v>16</v>
      </c>
      <c r="O71" s="5">
        <v>16</v>
      </c>
      <c r="P71" s="5">
        <v>16</v>
      </c>
      <c r="Q71" s="5">
        <v>16</v>
      </c>
      <c r="R71" s="5">
        <v>16</v>
      </c>
      <c r="S71" s="5">
        <v>16</v>
      </c>
      <c r="T71" s="5">
        <f t="shared" si="6"/>
        <v>192</v>
      </c>
      <c r="U71" s="6">
        <f t="array" ref="U71">IF(OR(C71="",F71=""),"",IFERROR(_xlfn.XLOOKUP(1, (INDEX(Emission_Factor,,1)=C71)*(INDEX(Emission_Factor,,2)=F71), INDEX(Emission_Factor,,3)),""))</f>
        <v>5.6450000000000001E-4</v>
      </c>
      <c r="V71" s="5">
        <f t="shared" ref="V71:AG71" si="7">IF(OR($U71="", H71="", ISBLANK($U71), ISBLANK(H71)), "", ($U71*H71))</f>
        <v>9.0320000000000001E-3</v>
      </c>
      <c r="W71" s="5">
        <f t="shared" si="7"/>
        <v>9.0320000000000001E-3</v>
      </c>
      <c r="X71" s="5">
        <f t="shared" si="7"/>
        <v>9.0320000000000001E-3</v>
      </c>
      <c r="Y71" s="5">
        <f t="shared" si="7"/>
        <v>9.0320000000000001E-3</v>
      </c>
      <c r="Z71" s="5">
        <f t="shared" si="7"/>
        <v>9.0320000000000001E-3</v>
      </c>
      <c r="AA71" s="5">
        <f t="shared" si="7"/>
        <v>9.0320000000000001E-3</v>
      </c>
      <c r="AB71" s="5">
        <f t="shared" si="7"/>
        <v>9.0320000000000001E-3</v>
      </c>
      <c r="AC71" s="5">
        <f t="shared" si="7"/>
        <v>9.0320000000000001E-3</v>
      </c>
      <c r="AD71" s="5">
        <f t="shared" si="7"/>
        <v>9.0320000000000001E-3</v>
      </c>
      <c r="AE71" s="5">
        <f t="shared" si="7"/>
        <v>9.0320000000000001E-3</v>
      </c>
      <c r="AF71" s="5">
        <f t="shared" si="7"/>
        <v>9.0320000000000001E-3</v>
      </c>
      <c r="AG71" s="5">
        <f t="shared" si="7"/>
        <v>9.0320000000000001E-3</v>
      </c>
      <c r="AH71" s="4">
        <f>IF(OR(T71="", U71="", ISBLANK(T71), ISBLANK(U71)), "", (T71*U71))</f>
        <v>0.10838400000000001</v>
      </c>
    </row>
  </sheetData>
  <mergeCells count="2">
    <mergeCell ref="H2:T2"/>
    <mergeCell ref="V2:AH2"/>
  </mergeCells>
  <dataValidations count="4">
    <dataValidation type="list" allowBlank="1" showInputMessage="1" showErrorMessage="1" sqref="A6:A147" xr:uid="{00000000-0002-0000-0000-000000000000}">
      <formula1>Plant</formula1>
    </dataValidation>
    <dataValidation type="list" allowBlank="1" showInputMessage="1" showErrorMessage="1" sqref="C4 C6:C71" xr:uid="{00000000-0002-0000-0000-000001000000}">
      <formula1>Scope</formula1>
    </dataValidation>
    <dataValidation type="list" allowBlank="1" showInputMessage="1" showErrorMessage="1" sqref="F4 F6:F71" xr:uid="{00000000-0002-0000-0000-000002000000}">
      <formula1>INDIRECT(SUBSTITUTE(D4," ","_"))</formula1>
    </dataValidation>
    <dataValidation type="list" allowBlank="1" showInputMessage="1" showErrorMessage="1" sqref="D4 D6:D71" xr:uid="{00000000-0002-0000-0000-000003000000}">
      <formula1>INDIRECT(SUBSTITUTE(C4," ","_"))</formula1>
    </dataValidation>
  </dataValidations>
  <pageMargins left="0.7" right="0.7" top="0.75" bottom="0.75" header="0.3" footer="0.3"/>
  <pageSetup paperSize="9" orientation="portrait" horizontalDpi="429496729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249977111117893"/>
  </sheetPr>
  <dimension ref="A1:AH72"/>
  <sheetViews>
    <sheetView zoomScale="66" zoomScaleNormal="115" workbookViewId="0">
      <pane xSplit="7" ySplit="4" topLeftCell="U7" activePane="bottomRight" state="frozenSplit"/>
      <selection pane="topRight" activeCell="N1" sqref="N1"/>
      <selection pane="bottomLeft" activeCell="A16" sqref="A16"/>
      <selection pane="bottomRight" activeCell="A72" sqref="A53:XFD72"/>
    </sheetView>
  </sheetViews>
  <sheetFormatPr defaultRowHeight="15"/>
  <cols>
    <col min="1" max="1" width="12.5703125" customWidth="1"/>
    <col min="2" max="2" width="10" style="3" customWidth="1"/>
    <col min="3" max="3" width="11.28515625" customWidth="1"/>
    <col min="4" max="4" width="30.5703125" customWidth="1"/>
    <col min="5" max="5" width="38.140625" customWidth="1"/>
    <col min="6" max="6" width="36.140625" customWidth="1"/>
    <col min="7" max="7" width="10" customWidth="1"/>
    <col min="8" max="19" width="11.28515625" style="2" hidden="1" customWidth="1"/>
    <col min="20" max="20" width="13.85546875" style="2" hidden="1" customWidth="1"/>
    <col min="21" max="33" width="11.28515625" style="2" customWidth="1"/>
    <col min="34" max="34" width="18.5703125" style="2" customWidth="1"/>
    <col min="35" max="40" width="13.5703125" customWidth="1"/>
  </cols>
  <sheetData>
    <row r="1" spans="1:34" s="39" customFormat="1" ht="24" customHeight="1" thickBot="1">
      <c r="A1" s="45" t="s">
        <v>75</v>
      </c>
      <c r="C1" s="44"/>
      <c r="E1" s="43" t="s">
        <v>76</v>
      </c>
      <c r="F1" s="42">
        <v>2023</v>
      </c>
      <c r="H1" s="40"/>
      <c r="I1" s="41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</row>
    <row r="2" spans="1:34" ht="15.75" customHeight="1" thickBot="1">
      <c r="A2" s="37"/>
      <c r="B2" s="38"/>
      <c r="C2" s="37"/>
      <c r="D2" s="37"/>
      <c r="E2" s="37"/>
      <c r="F2" s="37"/>
      <c r="G2" s="37"/>
      <c r="H2" s="68" t="s">
        <v>77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70"/>
      <c r="U2" s="37"/>
      <c r="V2" s="68" t="s">
        <v>78</v>
      </c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70"/>
    </row>
    <row r="3" spans="1:34" ht="15" customHeight="1">
      <c r="A3" s="76" t="s">
        <v>79</v>
      </c>
      <c r="B3" s="84" t="s">
        <v>80</v>
      </c>
      <c r="C3" s="81" t="s">
        <v>2</v>
      </c>
      <c r="D3" s="81" t="s">
        <v>4</v>
      </c>
      <c r="E3" s="83" t="s">
        <v>81</v>
      </c>
      <c r="F3" s="81" t="s">
        <v>5</v>
      </c>
      <c r="G3" s="78" t="s">
        <v>6</v>
      </c>
      <c r="H3" s="74">
        <f t="shared" ref="H3:S3" si="0">DATE($F$1, COLUMN(H3)-7, 1)</f>
        <v>44927</v>
      </c>
      <c r="I3" s="74">
        <f t="shared" si="0"/>
        <v>44958</v>
      </c>
      <c r="J3" s="74">
        <f t="shared" si="0"/>
        <v>44986</v>
      </c>
      <c r="K3" s="74">
        <f t="shared" si="0"/>
        <v>45017</v>
      </c>
      <c r="L3" s="74">
        <f t="shared" si="0"/>
        <v>45047</v>
      </c>
      <c r="M3" s="74">
        <f t="shared" si="0"/>
        <v>45078</v>
      </c>
      <c r="N3" s="74">
        <f t="shared" si="0"/>
        <v>45108</v>
      </c>
      <c r="O3" s="74">
        <f t="shared" si="0"/>
        <v>45139</v>
      </c>
      <c r="P3" s="74">
        <f t="shared" si="0"/>
        <v>45170</v>
      </c>
      <c r="Q3" s="74">
        <f t="shared" si="0"/>
        <v>45200</v>
      </c>
      <c r="R3" s="74">
        <f t="shared" si="0"/>
        <v>45231</v>
      </c>
      <c r="S3" s="74">
        <f t="shared" si="0"/>
        <v>45261</v>
      </c>
      <c r="T3" s="31" t="s">
        <v>8</v>
      </c>
      <c r="U3" s="80" t="s">
        <v>82</v>
      </c>
      <c r="V3" s="74">
        <f t="shared" ref="V3:AG3" si="1">DATE($F$1, COLUMN(V3)-21, 1)</f>
        <v>44927</v>
      </c>
      <c r="W3" s="74">
        <f t="shared" si="1"/>
        <v>44958</v>
      </c>
      <c r="X3" s="74">
        <f t="shared" si="1"/>
        <v>44986</v>
      </c>
      <c r="Y3" s="74">
        <f t="shared" si="1"/>
        <v>45017</v>
      </c>
      <c r="Z3" s="74">
        <f t="shared" si="1"/>
        <v>45047</v>
      </c>
      <c r="AA3" s="74">
        <f t="shared" si="1"/>
        <v>45078</v>
      </c>
      <c r="AB3" s="74">
        <f t="shared" si="1"/>
        <v>45108</v>
      </c>
      <c r="AC3" s="74">
        <f t="shared" si="1"/>
        <v>45139</v>
      </c>
      <c r="AD3" s="74">
        <f t="shared" si="1"/>
        <v>45170</v>
      </c>
      <c r="AE3" s="74">
        <f t="shared" si="1"/>
        <v>45200</v>
      </c>
      <c r="AF3" s="74">
        <f t="shared" si="1"/>
        <v>45231</v>
      </c>
      <c r="AG3" s="74">
        <f t="shared" si="1"/>
        <v>45261</v>
      </c>
      <c r="AH3" s="80" t="s">
        <v>83</v>
      </c>
    </row>
    <row r="4" spans="1:34" ht="15.75" customHeight="1" thickBot="1">
      <c r="A4" s="77"/>
      <c r="B4" s="75"/>
      <c r="C4" s="82"/>
      <c r="D4" s="82"/>
      <c r="E4" s="82"/>
      <c r="F4" s="82"/>
      <c r="G4" s="79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57" t="s">
        <v>136</v>
      </c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</row>
    <row r="5" spans="1:34" s="16" customFormat="1" ht="21.75" hidden="1" customHeight="1">
      <c r="A5" s="58" t="s">
        <v>22</v>
      </c>
      <c r="B5" s="59">
        <f>IF(A5="","",DATE($F$1,1,1))</f>
        <v>44927</v>
      </c>
      <c r="C5" s="60" t="s">
        <v>23</v>
      </c>
      <c r="D5" s="61" t="s">
        <v>25</v>
      </c>
      <c r="E5" s="62" t="s">
        <v>24</v>
      </c>
      <c r="F5" s="61" t="s">
        <v>26</v>
      </c>
      <c r="G5" s="63" t="str">
        <f t="array" ref="G5">IF(OR(C5="",F5=""),"",IFERROR(_xlfn.XLOOKUP(1, (INDEX(Emission_Factor_Unit,,1)=C5)*(INDEX(Emission_Factor_Unit,,2)=F5), INDEX(Emission_Factor_Unit,,4)),""))</f>
        <v>GJ</v>
      </c>
      <c r="H5" s="64">
        <v>100</v>
      </c>
      <c r="I5" s="64">
        <v>100</v>
      </c>
      <c r="J5" s="64">
        <v>100</v>
      </c>
      <c r="K5" s="64">
        <v>100</v>
      </c>
      <c r="L5" s="64">
        <v>100</v>
      </c>
      <c r="M5" s="64">
        <v>100</v>
      </c>
      <c r="N5" s="64">
        <v>100</v>
      </c>
      <c r="O5" s="64">
        <v>100</v>
      </c>
      <c r="P5" s="64">
        <v>100</v>
      </c>
      <c r="Q5" s="64">
        <v>100</v>
      </c>
      <c r="R5" s="64">
        <v>100</v>
      </c>
      <c r="S5" s="64">
        <v>100</v>
      </c>
      <c r="T5" s="64">
        <f>IF(COUNT(H5:S5)=0, "", SUM(H5:S5))</f>
        <v>1200</v>
      </c>
      <c r="U5" s="65">
        <v>5.0351584999999997E-2</v>
      </c>
      <c r="V5" s="64">
        <v>5.0351584999999996</v>
      </c>
      <c r="W5" s="64">
        <v>5.0351584999999996</v>
      </c>
      <c r="X5" s="64">
        <v>5.0351584999999996</v>
      </c>
      <c r="Y5" s="64">
        <v>5.0351584999999996</v>
      </c>
      <c r="Z5" s="64">
        <v>5.0351584999999996</v>
      </c>
      <c r="AA5" s="64">
        <v>5.0351584999999996</v>
      </c>
      <c r="AB5" s="64">
        <v>5.0351584999999996</v>
      </c>
      <c r="AC5" s="64">
        <v>5.0351584999999996</v>
      </c>
      <c r="AD5" s="64">
        <v>5.0351584999999996</v>
      </c>
      <c r="AE5" s="64">
        <v>5.0351584999999996</v>
      </c>
      <c r="AF5" s="64">
        <v>5.0351584999999996</v>
      </c>
      <c r="AG5" s="64">
        <v>5.0351584999999996</v>
      </c>
      <c r="AH5" s="64">
        <v>60.421902000000003</v>
      </c>
    </row>
    <row r="6" spans="1:34" s="16" customFormat="1" hidden="1">
      <c r="A6" s="23" t="s">
        <v>84</v>
      </c>
      <c r="B6" s="22" t="s">
        <v>85</v>
      </c>
      <c r="C6" s="23" t="s">
        <v>86</v>
      </c>
      <c r="D6" s="66" t="s">
        <v>87</v>
      </c>
      <c r="E6" s="24" t="s">
        <v>88</v>
      </c>
      <c r="F6" s="24" t="s">
        <v>89</v>
      </c>
      <c r="G6" s="20" t="s">
        <v>90</v>
      </c>
      <c r="H6" s="18" t="s">
        <v>91</v>
      </c>
      <c r="I6" s="18" t="s">
        <v>92</v>
      </c>
      <c r="J6" s="18" t="s">
        <v>93</v>
      </c>
      <c r="K6" s="18" t="s">
        <v>94</v>
      </c>
      <c r="L6" s="18" t="s">
        <v>95</v>
      </c>
      <c r="M6" s="18" t="s">
        <v>96</v>
      </c>
      <c r="N6" s="18" t="s">
        <v>97</v>
      </c>
      <c r="O6" s="18" t="s">
        <v>98</v>
      </c>
      <c r="P6" s="18" t="s">
        <v>99</v>
      </c>
      <c r="Q6" s="18" t="s">
        <v>100</v>
      </c>
      <c r="R6" s="18" t="s">
        <v>101</v>
      </c>
      <c r="S6" s="18" t="s">
        <v>102</v>
      </c>
      <c r="T6" s="18" t="s">
        <v>103</v>
      </c>
      <c r="U6" s="19" t="s">
        <v>137</v>
      </c>
      <c r="V6" s="18" t="s">
        <v>138</v>
      </c>
      <c r="W6" s="18" t="s">
        <v>139</v>
      </c>
      <c r="X6" s="18" t="s">
        <v>140</v>
      </c>
      <c r="Y6" s="18" t="s">
        <v>141</v>
      </c>
      <c r="Z6" s="18" t="s">
        <v>142</v>
      </c>
      <c r="AA6" s="18" t="s">
        <v>143</v>
      </c>
      <c r="AB6" s="18" t="s">
        <v>144</v>
      </c>
      <c r="AC6" s="18" t="s">
        <v>145</v>
      </c>
      <c r="AD6" s="18" t="s">
        <v>146</v>
      </c>
      <c r="AE6" s="18" t="s">
        <v>147</v>
      </c>
      <c r="AF6" s="18" t="s">
        <v>148</v>
      </c>
      <c r="AG6" s="18" t="s">
        <v>149</v>
      </c>
      <c r="AH6" s="17" t="s">
        <v>150</v>
      </c>
    </row>
    <row r="7" spans="1:34" s="16" customFormat="1" ht="21.75" customHeight="1">
      <c r="A7" s="23" t="s">
        <v>28</v>
      </c>
      <c r="B7" s="22">
        <f t="shared" ref="B7:B38" si="2">IF(A7="","",DATE($F$1,1,1))</f>
        <v>44927</v>
      </c>
      <c r="C7" s="23" t="s">
        <v>23</v>
      </c>
      <c r="D7" s="66" t="s">
        <v>30</v>
      </c>
      <c r="E7" s="24" t="s">
        <v>29</v>
      </c>
      <c r="F7" s="24" t="s">
        <v>30</v>
      </c>
      <c r="G7" s="20" t="str">
        <f t="array" ref="G7">IF(OR(C7="",F7=""),"",IFERROR(_xlfn.XLOOKUP(1, (INDEX(Emission_Factor_Unit,,1)=C7)*(INDEX(Emission_Factor_Unit,,2)=F7), INDEX(Emission_Factor_Unit,,4)),""))</f>
        <v>m³</v>
      </c>
      <c r="H7" s="18">
        <v>342941.09293408622</v>
      </c>
      <c r="I7" s="18">
        <v>327401.75947422138</v>
      </c>
      <c r="J7" s="18">
        <v>363225.96453580761</v>
      </c>
      <c r="K7" s="18">
        <v>325982.51648057642</v>
      </c>
      <c r="L7" s="18">
        <v>318854.04729459301</v>
      </c>
      <c r="M7" s="18">
        <v>316513.63578352373</v>
      </c>
      <c r="N7" s="18">
        <v>375053.69756761071</v>
      </c>
      <c r="O7" s="18">
        <v>304265.51857003622</v>
      </c>
      <c r="P7" s="18">
        <v>0</v>
      </c>
      <c r="Q7" s="18">
        <v>457745.73827756441</v>
      </c>
      <c r="R7" s="18">
        <v>340380.60867913748</v>
      </c>
      <c r="S7" s="18">
        <v>326386.85967179859</v>
      </c>
      <c r="T7" s="18">
        <f t="shared" ref="T7:T38" si="3">IF(COUNT(H7:S7)=0, "", SUM(H7:S7))</f>
        <v>3798751.4392689555</v>
      </c>
      <c r="U7" s="19">
        <v>1.8392250000000001E-3</v>
      </c>
      <c r="V7" s="18">
        <v>630.74583165169474</v>
      </c>
      <c r="W7" s="18">
        <v>602.16550106897489</v>
      </c>
      <c r="X7" s="18">
        <v>668.0542746233707</v>
      </c>
      <c r="Y7" s="18">
        <v>599.55519387398817</v>
      </c>
      <c r="Z7" s="18">
        <v>586.44433513539775</v>
      </c>
      <c r="AA7" s="18">
        <v>582.13979177395129</v>
      </c>
      <c r="AB7" s="18">
        <v>689.8081369087887</v>
      </c>
      <c r="AC7" s="18">
        <v>559.61274839197483</v>
      </c>
      <c r="AD7" s="18">
        <v>0</v>
      </c>
      <c r="AE7" s="18">
        <v>841.89740548355337</v>
      </c>
      <c r="AF7" s="18">
        <v>626.03652499788666</v>
      </c>
      <c r="AG7" s="18">
        <v>600.29887197986375</v>
      </c>
      <c r="AH7" s="17">
        <v>6986.7586158894446</v>
      </c>
    </row>
    <row r="8" spans="1:34" s="16" customFormat="1" ht="21.75" customHeight="1" thickBot="1">
      <c r="A8" s="9" t="s">
        <v>28</v>
      </c>
      <c r="B8" s="14">
        <f t="shared" si="2"/>
        <v>44927</v>
      </c>
      <c r="C8" s="9" t="s">
        <v>23</v>
      </c>
      <c r="D8" s="66" t="s">
        <v>30</v>
      </c>
      <c r="E8" s="24" t="s">
        <v>32</v>
      </c>
      <c r="F8" s="24" t="s">
        <v>30</v>
      </c>
      <c r="G8" s="20" t="str">
        <f t="array" ref="G8">IF(OR(C8="",F8=""),"",IFERROR(_xlfn.XLOOKUP(1, (INDEX(Emission_Factor_Unit,,1)=C8)*(INDEX(Emission_Factor_Unit,,2)=F8), INDEX(Emission_Factor_Unit,,4)),""))</f>
        <v>m³</v>
      </c>
      <c r="H8" s="18">
        <v>50703.578109958828</v>
      </c>
      <c r="I8" s="18">
        <v>18345.876526714161</v>
      </c>
      <c r="J8" s="18">
        <v>26715.73940590008</v>
      </c>
      <c r="K8" s="18">
        <v>55834.05728905565</v>
      </c>
      <c r="L8" s="18">
        <v>81847.884960331794</v>
      </c>
      <c r="M8" s="18">
        <v>110479.2929638973</v>
      </c>
      <c r="N8" s="18">
        <v>23915.619601646082</v>
      </c>
      <c r="O8" s="18">
        <v>13524.824644397921</v>
      </c>
      <c r="P8" s="18">
        <v>0</v>
      </c>
      <c r="Q8" s="18">
        <v>124419.1446492017</v>
      </c>
      <c r="R8" s="18">
        <v>134250.12516376839</v>
      </c>
      <c r="S8" s="18">
        <v>71864.887373816775</v>
      </c>
      <c r="T8" s="18">
        <f t="shared" si="3"/>
        <v>711901.03068868874</v>
      </c>
      <c r="U8" s="19">
        <v>1.8392250000000001E-3</v>
      </c>
      <c r="V8" s="18">
        <v>93.255288449289026</v>
      </c>
      <c r="W8" s="18">
        <v>33.742194754845841</v>
      </c>
      <c r="X8" s="18">
        <v>49.136255808816578</v>
      </c>
      <c r="Y8" s="18">
        <v>102.6913940174634</v>
      </c>
      <c r="Z8" s="18">
        <v>150.5366762161662</v>
      </c>
      <c r="AA8" s="18">
        <v>203.19627760152409</v>
      </c>
      <c r="AB8" s="18">
        <v>43.986205461837507</v>
      </c>
      <c r="AC8" s="18">
        <v>24.875195606592769</v>
      </c>
      <c r="AD8" s="18">
        <v>0</v>
      </c>
      <c r="AE8" s="18">
        <v>228.83480131742809</v>
      </c>
      <c r="AF8" s="18">
        <v>246.91618645433189</v>
      </c>
      <c r="AG8" s="18">
        <v>132.17569748010811</v>
      </c>
      <c r="AH8" s="17">
        <v>1309.346173168404</v>
      </c>
    </row>
    <row r="9" spans="1:34" s="16" customFormat="1" ht="21.75" customHeight="1">
      <c r="A9" s="23" t="s">
        <v>28</v>
      </c>
      <c r="B9" s="22">
        <f t="shared" si="2"/>
        <v>44927</v>
      </c>
      <c r="C9" s="9" t="s">
        <v>23</v>
      </c>
      <c r="D9" s="66" t="s">
        <v>30</v>
      </c>
      <c r="E9" s="24" t="s">
        <v>33</v>
      </c>
      <c r="F9" s="24" t="s">
        <v>30</v>
      </c>
      <c r="G9" s="20" t="str">
        <f t="array" ref="G9">IF(OR(C9="",F9=""),"",IFERROR(_xlfn.XLOOKUP(1, (INDEX(Emission_Factor_Unit,,1)=C9)*(INDEX(Emission_Factor_Unit,,2)=F9), INDEX(Emission_Factor_Unit,,4)),""))</f>
        <v>m³</v>
      </c>
      <c r="H9" s="18">
        <v>1030656.316219004</v>
      </c>
      <c r="I9" s="18">
        <v>951713.50833095785</v>
      </c>
      <c r="J9" s="18">
        <v>1104564.603729042</v>
      </c>
      <c r="K9" s="18">
        <v>1024476.882642478</v>
      </c>
      <c r="L9" s="18">
        <v>1076822.9508961639</v>
      </c>
      <c r="M9" s="18">
        <v>1128088.577510545</v>
      </c>
      <c r="N9" s="18">
        <v>1241595.7311130869</v>
      </c>
      <c r="O9" s="18">
        <v>658217.95331667305</v>
      </c>
      <c r="P9" s="18">
        <v>0</v>
      </c>
      <c r="Q9" s="18">
        <v>491988.0344079631</v>
      </c>
      <c r="R9" s="18">
        <v>861047.07067430904</v>
      </c>
      <c r="S9" s="18">
        <v>465870.12938813522</v>
      </c>
      <c r="T9" s="18">
        <f t="shared" si="3"/>
        <v>10035041.758228358</v>
      </c>
      <c r="U9" s="65">
        <v>1.8392250000000001E-3</v>
      </c>
      <c r="V9" s="64">
        <v>1895.608863197898</v>
      </c>
      <c r="W9" s="64">
        <v>1750.415277360006</v>
      </c>
      <c r="X9" s="64">
        <v>2031.542833293546</v>
      </c>
      <c r="Y9" s="64">
        <v>1884.2434944781121</v>
      </c>
      <c r="Z9" s="64">
        <v>1980.519691861997</v>
      </c>
      <c r="AA9" s="64">
        <v>2074.8087139718332</v>
      </c>
      <c r="AB9" s="64">
        <v>2283.5739085564669</v>
      </c>
      <c r="AC9" s="64">
        <v>1210.6109151888579</v>
      </c>
      <c r="AD9" s="64">
        <v>0</v>
      </c>
      <c r="AE9" s="64">
        <v>904.87669258398591</v>
      </c>
      <c r="AF9" s="64">
        <v>1583.6592985609559</v>
      </c>
      <c r="AG9" s="64">
        <v>856.83998872389282</v>
      </c>
      <c r="AH9" s="64">
        <v>18456.699677777549</v>
      </c>
    </row>
    <row r="10" spans="1:34" s="16" customFormat="1" ht="21.75" customHeight="1">
      <c r="A10" s="23" t="s">
        <v>28</v>
      </c>
      <c r="B10" s="22">
        <f t="shared" si="2"/>
        <v>44927</v>
      </c>
      <c r="C10" s="9" t="s">
        <v>23</v>
      </c>
      <c r="D10" s="66" t="s">
        <v>30</v>
      </c>
      <c r="E10" s="24" t="s">
        <v>34</v>
      </c>
      <c r="F10" s="24" t="s">
        <v>30</v>
      </c>
      <c r="G10" s="20" t="str">
        <f t="array" ref="G10">IF(OR(C10="",F10=""),"",IFERROR(_xlfn.XLOOKUP(1, (INDEX(Emission_Factor_Unit,,1)=C10)*(INDEX(Emission_Factor_Unit,,2)=F10), INDEX(Emission_Factor_Unit,,4)),""))</f>
        <v>m³</v>
      </c>
      <c r="H10" s="18">
        <v>149025.2832035232</v>
      </c>
      <c r="I10" s="18">
        <v>132186.33690820861</v>
      </c>
      <c r="J10" s="18">
        <v>147205.27837812121</v>
      </c>
      <c r="K10" s="18">
        <v>135605.261863013</v>
      </c>
      <c r="L10" s="18">
        <v>134606.2114477565</v>
      </c>
      <c r="M10" s="18">
        <v>134593.92896464551</v>
      </c>
      <c r="N10" s="18">
        <v>150638.5704576656</v>
      </c>
      <c r="O10" s="18">
        <v>108363.6157892591</v>
      </c>
      <c r="P10" s="18">
        <v>0</v>
      </c>
      <c r="Q10" s="18">
        <v>60820.715382837887</v>
      </c>
      <c r="R10" s="18">
        <v>106738.60946866211</v>
      </c>
      <c r="S10" s="18">
        <v>128112.4964319211</v>
      </c>
      <c r="T10" s="18">
        <f t="shared" si="3"/>
        <v>1387896.3082956141</v>
      </c>
      <c r="U10" s="19">
        <v>1.8392250000000001E-3</v>
      </c>
      <c r="V10" s="18">
        <v>274.0910265</v>
      </c>
      <c r="W10" s="18">
        <v>243.12041550000001</v>
      </c>
      <c r="X10" s="18">
        <v>270.74362812499999</v>
      </c>
      <c r="Y10" s="18">
        <v>249.40858775000001</v>
      </c>
      <c r="Z10" s="18">
        <v>247.57110925000001</v>
      </c>
      <c r="AA10" s="18">
        <v>247.548519</v>
      </c>
      <c r="AB10" s="18">
        <v>277.05822475000002</v>
      </c>
      <c r="AC10" s="18">
        <v>199.30507125</v>
      </c>
      <c r="AD10" s="18">
        <v>0</v>
      </c>
      <c r="AE10" s="18">
        <v>111.86298025000001</v>
      </c>
      <c r="AF10" s="18">
        <v>196.31631899999999</v>
      </c>
      <c r="AG10" s="18">
        <v>235.62770624999999</v>
      </c>
      <c r="AH10" s="17">
        <v>2552.653587625</v>
      </c>
    </row>
    <row r="11" spans="1:34" s="16" customFormat="1" ht="21.75" customHeight="1">
      <c r="A11" s="9" t="s">
        <v>35</v>
      </c>
      <c r="B11" s="14">
        <f t="shared" si="2"/>
        <v>44927</v>
      </c>
      <c r="C11" s="9" t="s">
        <v>23</v>
      </c>
      <c r="D11" s="66" t="s">
        <v>30</v>
      </c>
      <c r="E11" s="21" t="s">
        <v>36</v>
      </c>
      <c r="F11" s="21" t="s">
        <v>30</v>
      </c>
      <c r="G11" s="20" t="str">
        <f t="array" ref="G11">IF(OR(C11="",F11=""),"",IFERROR(_xlfn.XLOOKUP(1, (INDEX(Emission_Factor_Unit,,1)=C11)*(INDEX(Emission_Factor_Unit,,2)=F11), INDEX(Emission_Factor_Unit,,4)),""))</f>
        <v>m³</v>
      </c>
      <c r="H11" s="18">
        <v>1674.292997394555</v>
      </c>
      <c r="I11" s="18">
        <v>1469.8243011480381</v>
      </c>
      <c r="J11" s="18">
        <v>1604.777495615816</v>
      </c>
      <c r="K11" s="18">
        <v>1484.798353433104</v>
      </c>
      <c r="L11" s="18">
        <v>1627.6059984961059</v>
      </c>
      <c r="M11" s="18">
        <v>1537.725544675611</v>
      </c>
      <c r="N11" s="18">
        <v>1467.7582915206131</v>
      </c>
      <c r="O11" s="18">
        <v>1393.1470342176731</v>
      </c>
      <c r="P11" s="18">
        <v>1471.944520940614</v>
      </c>
      <c r="Q11" s="18">
        <v>1025.728604878685</v>
      </c>
      <c r="R11" s="18">
        <v>1637.8878598197609</v>
      </c>
      <c r="S11" s="18">
        <v>1536.201636699697</v>
      </c>
      <c r="T11" s="18">
        <f t="shared" si="3"/>
        <v>17931.692638840275</v>
      </c>
      <c r="U11" s="19">
        <v>1.8392250000000001E-3</v>
      </c>
      <c r="V11" s="18">
        <v>3.0794015381330002</v>
      </c>
      <c r="W11" s="18">
        <v>2.7033376002790002</v>
      </c>
      <c r="X11" s="18">
        <v>2.9515468893739998</v>
      </c>
      <c r="Y11" s="18">
        <v>2.7308782515929999</v>
      </c>
      <c r="Z11" s="18">
        <v>2.993533642584</v>
      </c>
      <c r="AA11" s="18">
        <v>2.8282232649060002</v>
      </c>
      <c r="AB11" s="18">
        <v>2.6995377437219998</v>
      </c>
      <c r="AC11" s="18">
        <v>2.562310854009</v>
      </c>
      <c r="AD11" s="18">
        <v>2.7072371615269999</v>
      </c>
      <c r="AE11" s="18">
        <v>1.886545693308</v>
      </c>
      <c r="AF11" s="18">
        <v>3.0124442989769999</v>
      </c>
      <c r="AG11" s="18">
        <v>2.8254204552590001</v>
      </c>
      <c r="AH11" s="17">
        <v>32.980417393670997</v>
      </c>
    </row>
    <row r="12" spans="1:34" s="16" customFormat="1" ht="21.75" customHeight="1">
      <c r="A12" s="9" t="s">
        <v>35</v>
      </c>
      <c r="B12" s="14">
        <f t="shared" si="2"/>
        <v>44927</v>
      </c>
      <c r="C12" s="9" t="s">
        <v>23</v>
      </c>
      <c r="D12" s="66" t="s">
        <v>30</v>
      </c>
      <c r="E12" s="21" t="s">
        <v>36</v>
      </c>
      <c r="F12" s="21" t="s">
        <v>30</v>
      </c>
      <c r="G12" s="20" t="str">
        <f t="array" ref="G12">IF(OR(C12="",F12=""),"",IFERROR(_xlfn.XLOOKUP(1, (INDEX(Emission_Factor_Unit,,1)=C12)*(INDEX(Emission_Factor_Unit,,2)=F12), INDEX(Emission_Factor_Unit,,4)),""))</f>
        <v>m³</v>
      </c>
      <c r="H12" s="18">
        <v>14759.95631816833</v>
      </c>
      <c r="I12" s="18">
        <v>14657.966570253961</v>
      </c>
      <c r="J12" s="18">
        <v>12931.32093396273</v>
      </c>
      <c r="K12" s="18">
        <v>13013.89183387423</v>
      </c>
      <c r="L12" s="18">
        <v>14115.381111349479</v>
      </c>
      <c r="M12" s="18">
        <v>13548.31811294555</v>
      </c>
      <c r="N12" s="18">
        <v>16616.169730209949</v>
      </c>
      <c r="O12" s="18">
        <v>18246.645833534429</v>
      </c>
      <c r="P12" s="18">
        <v>2243.7744541162451</v>
      </c>
      <c r="Q12" s="18">
        <v>17826.448072127179</v>
      </c>
      <c r="R12" s="18">
        <v>16616.169730209949</v>
      </c>
      <c r="S12" s="18">
        <v>16648.806449542521</v>
      </c>
      <c r="T12" s="18">
        <f t="shared" si="3"/>
        <v>171224.84915029455</v>
      </c>
      <c r="U12" s="19">
        <v>1.8392250000000001E-3</v>
      </c>
      <c r="V12" s="18">
        <v>27.146880659283148</v>
      </c>
      <c r="W12" s="18">
        <v>26.959298565175331</v>
      </c>
      <c r="X12" s="18">
        <v>23.783608744767591</v>
      </c>
      <c r="Y12" s="18">
        <v>23.935475208157332</v>
      </c>
      <c r="Z12" s="18">
        <v>25.961361824521749</v>
      </c>
      <c r="AA12" s="18">
        <v>24.91840538128228</v>
      </c>
      <c r="AB12" s="18">
        <v>30.560874772045398</v>
      </c>
      <c r="AC12" s="18">
        <v>33.559687183182348</v>
      </c>
      <c r="AD12" s="18">
        <v>4.1268060703719502</v>
      </c>
      <c r="AE12" s="18">
        <v>32.786848955458098</v>
      </c>
      <c r="AF12" s="18">
        <v>30.560874772045398</v>
      </c>
      <c r="AG12" s="18">
        <v>30.620901042159851</v>
      </c>
      <c r="AH12" s="17">
        <v>314.92102317845053</v>
      </c>
    </row>
    <row r="13" spans="1:34" s="16" customFormat="1" ht="21.75" customHeight="1">
      <c r="A13" s="23" t="s">
        <v>35</v>
      </c>
      <c r="B13" s="22">
        <f t="shared" si="2"/>
        <v>44927</v>
      </c>
      <c r="C13" s="9" t="s">
        <v>23</v>
      </c>
      <c r="D13" s="66" t="s">
        <v>34</v>
      </c>
      <c r="E13" s="21" t="s">
        <v>34</v>
      </c>
      <c r="F13" s="21" t="s">
        <v>34</v>
      </c>
      <c r="G13" s="20" t="str">
        <f t="array" ref="G13">IF(OR(C13="",F13=""),"",IFERROR(_xlfn.XLOOKUP(1, (INDEX(Emission_Factor_Unit,,1)=C13)*(INDEX(Emission_Factor_Unit,,2)=F13), INDEX(Emission_Factor_Unit,,4)),""))</f>
        <v>m³</v>
      </c>
      <c r="H13" s="18">
        <v>38003.325001906931</v>
      </c>
      <c r="I13" s="18">
        <v>32577.897826086959</v>
      </c>
      <c r="J13" s="18">
        <v>42564.154500381388</v>
      </c>
      <c r="K13" s="18">
        <v>38164.636956521732</v>
      </c>
      <c r="L13" s="18">
        <v>36715.592698321889</v>
      </c>
      <c r="M13" s="18">
        <v>40343.862011823017</v>
      </c>
      <c r="N13" s="18">
        <v>40670.515518688022</v>
      </c>
      <c r="O13" s="18">
        <v>33113.628800533937</v>
      </c>
      <c r="P13" s="18">
        <v>0</v>
      </c>
      <c r="Q13" s="18">
        <v>21589.964435545389</v>
      </c>
      <c r="R13" s="18">
        <v>41399648.209382147</v>
      </c>
      <c r="S13" s="18">
        <v>10558.39314263921</v>
      </c>
      <c r="T13" s="18">
        <f t="shared" si="3"/>
        <v>41733950.180274598</v>
      </c>
      <c r="U13" s="19">
        <v>1.311E-2</v>
      </c>
      <c r="V13" s="18">
        <v>498.22359077499988</v>
      </c>
      <c r="W13" s="18">
        <v>427.09624050000002</v>
      </c>
      <c r="X13" s="18">
        <v>558.01606550000008</v>
      </c>
      <c r="Y13" s="18">
        <v>500.3383905</v>
      </c>
      <c r="Z13" s="18">
        <v>481.34142027500002</v>
      </c>
      <c r="AA13" s="18">
        <v>528.90803097499997</v>
      </c>
      <c r="AB13" s="18">
        <v>533.19045845000005</v>
      </c>
      <c r="AC13" s="18">
        <v>434.11967357499998</v>
      </c>
      <c r="AD13" s="18">
        <v>0</v>
      </c>
      <c r="AE13" s="18">
        <v>283.04443375000011</v>
      </c>
      <c r="AF13" s="18">
        <v>542749.38802500011</v>
      </c>
      <c r="AG13" s="18">
        <v>138.4205341</v>
      </c>
      <c r="AH13" s="17">
        <v>547132.08686340018</v>
      </c>
    </row>
    <row r="14" spans="1:34" s="16" customFormat="1" ht="21.75" customHeight="1">
      <c r="A14" s="9" t="s">
        <v>37</v>
      </c>
      <c r="B14" s="14">
        <f t="shared" si="2"/>
        <v>44927</v>
      </c>
      <c r="C14" s="9" t="s">
        <v>23</v>
      </c>
      <c r="D14" s="66" t="s">
        <v>30</v>
      </c>
      <c r="E14" s="21" t="s">
        <v>38</v>
      </c>
      <c r="F14" s="21" t="s">
        <v>30</v>
      </c>
      <c r="G14" s="20" t="str">
        <f t="array" ref="G14">IF(OR(C14="",F14=""),"",IFERROR(_xlfn.XLOOKUP(1, (INDEX(Emission_Factor_Unit,,1)=C14)*(INDEX(Emission_Factor_Unit,,2)=F14), INDEX(Emission_Factor_Unit,,4)),""))</f>
        <v>m³</v>
      </c>
      <c r="H14" s="18">
        <v>886210.94261045475</v>
      </c>
      <c r="I14" s="18">
        <v>820854.70189979253</v>
      </c>
      <c r="J14" s="18">
        <v>808716.78185323009</v>
      </c>
      <c r="K14" s="18">
        <v>804329.5757544447</v>
      </c>
      <c r="L14" s="18">
        <v>866148.16527049348</v>
      </c>
      <c r="M14" s="18">
        <v>765441.17079101759</v>
      </c>
      <c r="N14" s="18">
        <v>849449.77254059841</v>
      </c>
      <c r="O14" s="18">
        <v>746588.89494486444</v>
      </c>
      <c r="P14" s="18">
        <v>0</v>
      </c>
      <c r="Q14" s="18">
        <v>808699.25991617283</v>
      </c>
      <c r="R14" s="18">
        <v>811014.62647962687</v>
      </c>
      <c r="S14" s="18">
        <v>544.52441569645055</v>
      </c>
      <c r="T14" s="18">
        <f t="shared" si="3"/>
        <v>8167998.4164763903</v>
      </c>
      <c r="U14" s="19">
        <v>1.8392250000000001E-3</v>
      </c>
      <c r="V14" s="18">
        <v>1629.941320922713</v>
      </c>
      <c r="W14" s="18">
        <v>1509.7364891016459</v>
      </c>
      <c r="X14" s="18">
        <v>1487.4121231040069</v>
      </c>
      <c r="Y14" s="18">
        <v>1479.343063966968</v>
      </c>
      <c r="Z14" s="18">
        <v>1593.0413592696229</v>
      </c>
      <c r="AA14" s="18">
        <v>1407.818537348109</v>
      </c>
      <c r="AB14" s="18">
        <v>1562.3292579009819</v>
      </c>
      <c r="AC14" s="18">
        <v>1373.144960304968</v>
      </c>
      <c r="AD14" s="18">
        <v>0</v>
      </c>
      <c r="AE14" s="18">
        <v>1487.3798963193231</v>
      </c>
      <c r="AF14" s="18">
        <v>1491.6383763869919</v>
      </c>
      <c r="AG14" s="18">
        <v>1.0015029184593041</v>
      </c>
      <c r="AH14" s="17">
        <v>15022.786887543791</v>
      </c>
    </row>
    <row r="15" spans="1:34" s="16" customFormat="1" ht="21.75" customHeight="1">
      <c r="A15" s="23" t="s">
        <v>37</v>
      </c>
      <c r="B15" s="22">
        <f t="shared" si="2"/>
        <v>44927</v>
      </c>
      <c r="C15" s="9" t="s">
        <v>23</v>
      </c>
      <c r="D15" s="66" t="s">
        <v>30</v>
      </c>
      <c r="E15" s="21" t="s">
        <v>39</v>
      </c>
      <c r="F15" s="21" t="s">
        <v>30</v>
      </c>
      <c r="G15" s="20" t="str">
        <f t="array" ref="G15">IF(OR(C15="",F15=""),"",IFERROR(_xlfn.XLOOKUP(1, (INDEX(Emission_Factor_Unit,,1)=C15)*(INDEX(Emission_Factor_Unit,,2)=F15), INDEX(Emission_Factor_Unit,,4)),""))</f>
        <v>m³</v>
      </c>
      <c r="H15" s="18">
        <v>183795.34260075691</v>
      </c>
      <c r="I15" s="18">
        <v>157234.50013559149</v>
      </c>
      <c r="J15" s="18">
        <v>185009.84466691691</v>
      </c>
      <c r="K15" s="18">
        <v>197125.77630835751</v>
      </c>
      <c r="L15" s="18">
        <v>206723.74688486871</v>
      </c>
      <c r="M15" s="18">
        <v>224309.62689668161</v>
      </c>
      <c r="N15" s="18">
        <v>189931.44888251001</v>
      </c>
      <c r="O15" s="18">
        <v>275383.88340040267</v>
      </c>
      <c r="P15" s="18">
        <v>58699.385223278819</v>
      </c>
      <c r="Q15" s="18">
        <v>271545.35821886122</v>
      </c>
      <c r="R15" s="18">
        <v>191307.35308625849</v>
      </c>
      <c r="S15" s="18">
        <v>40.151877674009427</v>
      </c>
      <c r="T15" s="18">
        <f t="shared" si="3"/>
        <v>2141106.4181821579</v>
      </c>
      <c r="U15" s="19">
        <v>1.8392250000000001E-3</v>
      </c>
      <c r="V15" s="18">
        <v>338.04098899487713</v>
      </c>
      <c r="W15" s="18">
        <v>289.18962351188333</v>
      </c>
      <c r="X15" s="18">
        <v>340.27473155751022</v>
      </c>
      <c r="Y15" s="18">
        <v>362.55865593073878</v>
      </c>
      <c r="Z15" s="18">
        <v>380.21148336432259</v>
      </c>
      <c r="AA15" s="18">
        <v>412.55587352904922</v>
      </c>
      <c r="AB15" s="18">
        <v>349.32666907093437</v>
      </c>
      <c r="AC15" s="18">
        <v>506.49292294710563</v>
      </c>
      <c r="AD15" s="18">
        <v>107.961376787285</v>
      </c>
      <c r="AE15" s="18">
        <v>499.43301147008498</v>
      </c>
      <c r="AF15" s="18">
        <v>351.85726648007392</v>
      </c>
      <c r="AG15" s="18">
        <v>7.3848337214979992E-2</v>
      </c>
      <c r="AH15" s="17">
        <v>3937.9764519810801</v>
      </c>
    </row>
    <row r="16" spans="1:34" s="16" customFormat="1" ht="21.75" customHeight="1">
      <c r="A16" s="9" t="s">
        <v>37</v>
      </c>
      <c r="B16" s="14">
        <f t="shared" si="2"/>
        <v>44927</v>
      </c>
      <c r="C16" s="9" t="s">
        <v>23</v>
      </c>
      <c r="D16" s="66" t="s">
        <v>41</v>
      </c>
      <c r="E16" s="21" t="s">
        <v>40</v>
      </c>
      <c r="F16" s="21" t="s">
        <v>41</v>
      </c>
      <c r="G16" s="20" t="str">
        <f t="array" ref="G16">IF(OR(C16="",F16=""),"",IFERROR(_xlfn.XLOOKUP(1, (INDEX(Emission_Factor_Unit,,1)=C16)*(INDEX(Emission_Factor_Unit,,2)=F16), INDEX(Emission_Factor_Unit,,4)),""))</f>
        <v>m³</v>
      </c>
      <c r="H16" s="18">
        <v>659025.17162471381</v>
      </c>
      <c r="I16" s="18">
        <v>555587.33790999232</v>
      </c>
      <c r="J16" s="18">
        <v>687784.89702517155</v>
      </c>
      <c r="K16" s="18">
        <v>629913.04347826075</v>
      </c>
      <c r="L16" s="18">
        <v>639342.48665141105</v>
      </c>
      <c r="M16" s="18">
        <v>652263.92067124322</v>
      </c>
      <c r="N16" s="18">
        <v>667353.1655225018</v>
      </c>
      <c r="O16" s="18">
        <v>577651.41113653698</v>
      </c>
      <c r="P16" s="18">
        <v>0</v>
      </c>
      <c r="Q16" s="18">
        <v>543028.99237223482</v>
      </c>
      <c r="R16" s="18">
        <v>645727.68878718524</v>
      </c>
      <c r="S16" s="18">
        <v>160803.9664378337</v>
      </c>
      <c r="T16" s="18">
        <f t="shared" si="3"/>
        <v>6418482.0816170843</v>
      </c>
      <c r="U16" s="19">
        <v>1.311E-2</v>
      </c>
      <c r="V16" s="18">
        <v>8639.82</v>
      </c>
      <c r="W16" s="18">
        <v>7283.75</v>
      </c>
      <c r="X16" s="18">
        <v>9016.86</v>
      </c>
      <c r="Y16" s="18">
        <v>8258.16</v>
      </c>
      <c r="Z16" s="18">
        <v>8381.7800000000007</v>
      </c>
      <c r="AA16" s="18">
        <v>8551.18</v>
      </c>
      <c r="AB16" s="18">
        <v>8749</v>
      </c>
      <c r="AC16" s="18">
        <v>7573.0100000000011</v>
      </c>
      <c r="AD16" s="18">
        <v>0</v>
      </c>
      <c r="AE16" s="18">
        <v>7119.1100899999992</v>
      </c>
      <c r="AF16" s="18">
        <v>8465.49</v>
      </c>
      <c r="AG16" s="18">
        <v>2108.14</v>
      </c>
      <c r="AH16" s="17">
        <v>84146.30008999999</v>
      </c>
    </row>
    <row r="17" spans="1:34" s="16" customFormat="1" ht="21.75" customHeight="1">
      <c r="A17" s="9" t="s">
        <v>37</v>
      </c>
      <c r="B17" s="14">
        <f t="shared" si="2"/>
        <v>44927</v>
      </c>
      <c r="C17" s="9" t="s">
        <v>23</v>
      </c>
      <c r="D17" s="66" t="s">
        <v>34</v>
      </c>
      <c r="E17" s="21" t="s">
        <v>34</v>
      </c>
      <c r="F17" s="21" t="s">
        <v>34</v>
      </c>
      <c r="G17" s="20" t="str">
        <f t="array" ref="G17">IF(OR(C17="",F17=""),"",IFERROR(_xlfn.XLOOKUP(1, (INDEX(Emission_Factor_Unit,,1)=C17)*(INDEX(Emission_Factor_Unit,,2)=F17), INDEX(Emission_Factor_Unit,,4)),""))</f>
        <v>m³</v>
      </c>
      <c r="H17" s="18">
        <v>145737.64244851249</v>
      </c>
      <c r="I17" s="18">
        <v>129043.6395881007</v>
      </c>
      <c r="J17" s="18">
        <v>151977.58790999229</v>
      </c>
      <c r="K17" s="18">
        <v>135889.74103737599</v>
      </c>
      <c r="L17" s="18">
        <v>134872.33562166279</v>
      </c>
      <c r="M17" s="18">
        <v>143630.6718154081</v>
      </c>
      <c r="N17" s="18">
        <v>146529.18154080849</v>
      </c>
      <c r="O17" s="18">
        <v>121774.7172006102</v>
      </c>
      <c r="P17" s="18">
        <v>0</v>
      </c>
      <c r="Q17" s="18">
        <v>110122.17219679629</v>
      </c>
      <c r="R17" s="18">
        <v>144219.72654462239</v>
      </c>
      <c r="S17" s="18">
        <v>29576.029366895491</v>
      </c>
      <c r="T17" s="18">
        <f t="shared" si="3"/>
        <v>1393373.4452707854</v>
      </c>
      <c r="U17" s="19">
        <v>1.311E-2</v>
      </c>
      <c r="V17" s="18">
        <v>1910.6204925</v>
      </c>
      <c r="W17" s="18">
        <v>1691.762115</v>
      </c>
      <c r="X17" s="18">
        <v>1992.4261775</v>
      </c>
      <c r="Y17" s="18">
        <v>1781.5145050000001</v>
      </c>
      <c r="Z17" s="18">
        <v>1768.17632</v>
      </c>
      <c r="AA17" s="18">
        <v>1882.9981075000001</v>
      </c>
      <c r="AB17" s="18">
        <v>1920.99757</v>
      </c>
      <c r="AC17" s="18">
        <v>1596.4665425000001</v>
      </c>
      <c r="AD17" s="18">
        <v>0</v>
      </c>
      <c r="AE17" s="18">
        <v>1443.7016775</v>
      </c>
      <c r="AF17" s="18">
        <v>1890.720615</v>
      </c>
      <c r="AG17" s="18">
        <v>387.74174499999998</v>
      </c>
      <c r="AH17" s="17">
        <v>18267.125867499999</v>
      </c>
    </row>
    <row r="18" spans="1:34" s="16" customFormat="1" ht="21.75" customHeight="1">
      <c r="A18" s="9" t="s">
        <v>42</v>
      </c>
      <c r="B18" s="14">
        <f t="shared" si="2"/>
        <v>44927</v>
      </c>
      <c r="C18" s="9" t="s">
        <v>23</v>
      </c>
      <c r="D18" s="66" t="s">
        <v>30</v>
      </c>
      <c r="E18" s="21" t="s">
        <v>43</v>
      </c>
      <c r="F18" s="21" t="s">
        <v>30</v>
      </c>
      <c r="G18" s="20" t="str">
        <f t="array" ref="G18">IF(OR(C18="",F18=""),"",IFERROR(_xlfn.XLOOKUP(1, (INDEX(Emission_Factor_Unit,,1)=C18)*(INDEX(Emission_Factor_Unit,,2)=F18), INDEX(Emission_Factor_Unit,,4)),""))</f>
        <v>m³</v>
      </c>
      <c r="H18" s="18">
        <v>4027.7299322204299</v>
      </c>
      <c r="I18" s="18">
        <v>3642.2896317551581</v>
      </c>
      <c r="J18" s="18">
        <v>4011.9729388051819</v>
      </c>
      <c r="K18" s="18">
        <v>3894.4015263991091</v>
      </c>
      <c r="L18" s="18">
        <v>4036.2144671363321</v>
      </c>
      <c r="M18" s="18">
        <v>3908.946443397796</v>
      </c>
      <c r="N18" s="18">
        <v>4039.850696386</v>
      </c>
      <c r="O18" s="18">
        <v>4041.062772802562</v>
      </c>
      <c r="P18" s="18">
        <v>3905.3102141481222</v>
      </c>
      <c r="Q18" s="18">
        <v>4042.2748492191172</v>
      </c>
      <c r="R18" s="18">
        <v>3902.88606131501</v>
      </c>
      <c r="S18" s="18">
        <v>4020.4574737210842</v>
      </c>
      <c r="T18" s="18">
        <f t="shared" si="3"/>
        <v>47473.397007305903</v>
      </c>
      <c r="U18" s="19">
        <v>1.8392250000000001E-3</v>
      </c>
      <c r="V18" s="18">
        <v>7.40790158458812</v>
      </c>
      <c r="W18" s="18">
        <v>6.6989901479648797</v>
      </c>
      <c r="X18" s="18">
        <v>7.3789209283739599</v>
      </c>
      <c r="Y18" s="18">
        <v>7.1626806473914</v>
      </c>
      <c r="Z18" s="18">
        <v>7.4235065533188198</v>
      </c>
      <c r="AA18" s="18">
        <v>7.1894320223583108</v>
      </c>
      <c r="AB18" s="18">
        <v>7.4301943970605402</v>
      </c>
      <c r="AC18" s="18">
        <v>7.4324236783077904</v>
      </c>
      <c r="AD18" s="18">
        <v>7.1827441786165798</v>
      </c>
      <c r="AE18" s="18">
        <v>7.4346529595550299</v>
      </c>
      <c r="AF18" s="18">
        <v>7.1782856161220998</v>
      </c>
      <c r="AG18" s="18">
        <v>7.3945258971046606</v>
      </c>
      <c r="AH18" s="17">
        <v>87.314258610762195</v>
      </c>
    </row>
    <row r="19" spans="1:34" s="16" customFormat="1" ht="21.75" customHeight="1">
      <c r="A19" s="9" t="s">
        <v>42</v>
      </c>
      <c r="B19" s="14">
        <f t="shared" si="2"/>
        <v>44927</v>
      </c>
      <c r="C19" s="9" t="s">
        <v>23</v>
      </c>
      <c r="D19" s="66" t="s">
        <v>30</v>
      </c>
      <c r="E19" s="21" t="s">
        <v>44</v>
      </c>
      <c r="F19" s="21" t="s">
        <v>30</v>
      </c>
      <c r="G19" s="20" t="str">
        <f t="array" ref="G19">IF(OR(C19="",F19=""),"",IFERROR(_xlfn.XLOOKUP(1, (INDEX(Emission_Factor_Unit,,1)=C19)*(INDEX(Emission_Factor_Unit,,2)=F19), INDEX(Emission_Factor_Unit,,4)),""))</f>
        <v>m³</v>
      </c>
      <c r="H19" s="18">
        <v>5226.4735081957506</v>
      </c>
      <c r="I19" s="18">
        <v>4713.7651839919481</v>
      </c>
      <c r="J19" s="18">
        <v>5220.413126112966</v>
      </c>
      <c r="K19" s="18">
        <v>5053.1465806280366</v>
      </c>
      <c r="L19" s="18">
        <v>5228.8976610288682</v>
      </c>
      <c r="M19" s="18">
        <v>5056.78280987771</v>
      </c>
      <c r="N19" s="18">
        <v>5225.2614317791949</v>
      </c>
      <c r="O19" s="18">
        <v>5233.7459666950981</v>
      </c>
      <c r="P19" s="18">
        <v>5032.5412815465597</v>
      </c>
      <c r="Q19" s="18">
        <v>5208.2923619473913</v>
      </c>
      <c r="R19" s="18">
        <v>5025.2688230472131</v>
      </c>
      <c r="S19" s="18">
        <v>5207.0802855308348</v>
      </c>
      <c r="T19" s="18">
        <f t="shared" si="3"/>
        <v>61431.669020381574</v>
      </c>
      <c r="U19" s="19">
        <v>1.8392250000000001E-3</v>
      </c>
      <c r="V19" s="18">
        <v>9.6126607381113303</v>
      </c>
      <c r="W19" s="18">
        <v>8.6696747705275907</v>
      </c>
      <c r="X19" s="18">
        <v>9.6015143318751193</v>
      </c>
      <c r="Y19" s="18">
        <v>9.2938735197555999</v>
      </c>
      <c r="Z19" s="18">
        <v>9.61711930060582</v>
      </c>
      <c r="AA19" s="18">
        <v>9.3005613634973301</v>
      </c>
      <c r="AB19" s="18">
        <v>9.6104314568640898</v>
      </c>
      <c r="AC19" s="18">
        <v>9.6260364255947906</v>
      </c>
      <c r="AD19" s="18">
        <v>9.2559757385524701</v>
      </c>
      <c r="AE19" s="18">
        <v>9.5792215194026902</v>
      </c>
      <c r="AF19" s="18">
        <v>9.2426000510690098</v>
      </c>
      <c r="AG19" s="18">
        <v>9.5769922381554498</v>
      </c>
      <c r="AH19" s="17">
        <v>112.9866614540113</v>
      </c>
    </row>
    <row r="20" spans="1:34" s="16" customFormat="1" ht="21.75" customHeight="1">
      <c r="A20" s="9" t="s">
        <v>42</v>
      </c>
      <c r="B20" s="14">
        <f t="shared" si="2"/>
        <v>44927</v>
      </c>
      <c r="C20" s="9" t="s">
        <v>23</v>
      </c>
      <c r="D20" s="66" t="s">
        <v>30</v>
      </c>
      <c r="E20" s="21" t="s">
        <v>45</v>
      </c>
      <c r="F20" s="21" t="s">
        <v>30</v>
      </c>
      <c r="G20" s="20" t="str">
        <f t="array" ref="G20">IF(OR(C20="",F20=""),"",IFERROR(_xlfn.XLOOKUP(1, (INDEX(Emission_Factor_Unit,,1)=C20)*(INDEX(Emission_Factor_Unit,,2)=F20), INDEX(Emission_Factor_Unit,,4)),""))</f>
        <v>m³</v>
      </c>
      <c r="H20" s="18">
        <v>9496.618723727659</v>
      </c>
      <c r="I20" s="18">
        <v>8571.804417894331</v>
      </c>
      <c r="J20" s="18">
        <v>9369.3506999891251</v>
      </c>
      <c r="K20" s="18">
        <v>8968.1534061086059</v>
      </c>
      <c r="L20" s="18">
        <v>9371.7748528222473</v>
      </c>
      <c r="M20" s="18">
        <v>9119.6629581783091</v>
      </c>
      <c r="N20" s="18">
        <v>9419.0458330680049</v>
      </c>
      <c r="O20" s="18">
        <v>9439.6511321494654</v>
      </c>
      <c r="P20" s="18">
        <v>9039.6659146855345</v>
      </c>
      <c r="Q20" s="18">
        <v>9405.71299248586</v>
      </c>
      <c r="R20" s="18">
        <v>9131.7837223438692</v>
      </c>
      <c r="S20" s="18">
        <v>9454.1960491481495</v>
      </c>
      <c r="T20" s="18">
        <f t="shared" si="3"/>
        <v>110787.42070260116</v>
      </c>
      <c r="U20" s="19">
        <v>1.8392250000000001E-3</v>
      </c>
      <c r="V20" s="18">
        <v>17.466418572148001</v>
      </c>
      <c r="W20" s="18">
        <v>15.765476980501701</v>
      </c>
      <c r="X20" s="18">
        <v>17.232344041187499</v>
      </c>
      <c r="Y20" s="18">
        <v>16.4944519483501</v>
      </c>
      <c r="Z20" s="18">
        <v>17.236802603682001</v>
      </c>
      <c r="AA20" s="18">
        <v>16.7731121042555</v>
      </c>
      <c r="AB20" s="18">
        <v>17.3237445723245</v>
      </c>
      <c r="AC20" s="18">
        <v>17.3616423535276</v>
      </c>
      <c r="AD20" s="18">
        <v>16.6259795419375</v>
      </c>
      <c r="AE20" s="18">
        <v>17.299222478604801</v>
      </c>
      <c r="AF20" s="18">
        <v>16.7954049167279</v>
      </c>
      <c r="AG20" s="18">
        <v>17.388393728494499</v>
      </c>
      <c r="AH20" s="17">
        <v>203.7629938417416</v>
      </c>
    </row>
    <row r="21" spans="1:34" s="16" customFormat="1" ht="21.75" customHeight="1">
      <c r="A21" s="9" t="s">
        <v>42</v>
      </c>
      <c r="B21" s="14">
        <f t="shared" si="2"/>
        <v>44927</v>
      </c>
      <c r="C21" s="9" t="s">
        <v>23</v>
      </c>
      <c r="D21" s="66" t="s">
        <v>25</v>
      </c>
      <c r="E21" s="21" t="s">
        <v>46</v>
      </c>
      <c r="F21" s="21" t="s">
        <v>26</v>
      </c>
      <c r="G21" s="20" t="str">
        <f t="array" ref="G21">IF(OR(C21="",F21=""),"",IFERROR(_xlfn.XLOOKUP(1, (INDEX(Emission_Factor_Unit,,1)=C21)*(INDEX(Emission_Factor_Unit,,2)=F21), INDEX(Emission_Factor_Unit,,4)),""))</f>
        <v>GJ</v>
      </c>
      <c r="H21" s="18">
        <v>41046.569379446963</v>
      </c>
      <c r="I21" s="18">
        <v>31892.982529140401</v>
      </c>
      <c r="J21" s="18">
        <v>0</v>
      </c>
      <c r="K21" s="18">
        <v>21656.814177447159</v>
      </c>
      <c r="L21" s="18">
        <v>47691.552869839958</v>
      </c>
      <c r="M21" s="18">
        <v>45552.137828075043</v>
      </c>
      <c r="N21" s="18">
        <v>43671.458985794758</v>
      </c>
      <c r="O21" s="18">
        <v>45159.436797668117</v>
      </c>
      <c r="P21" s="18">
        <v>23930.616100460309</v>
      </c>
      <c r="Q21" s="18">
        <v>11066.023094309499</v>
      </c>
      <c r="R21" s="18">
        <v>45098.348352543893</v>
      </c>
      <c r="S21" s="18">
        <v>36063.71565430233</v>
      </c>
      <c r="T21" s="18">
        <f t="shared" si="3"/>
        <v>392829.65576902841</v>
      </c>
      <c r="U21" s="19">
        <v>5.0351584999999997E-2</v>
      </c>
      <c r="V21" s="18">
        <v>2066.7598270676208</v>
      </c>
      <c r="W21" s="18">
        <v>1605.8622207195281</v>
      </c>
      <c r="X21" s="18">
        <v>0</v>
      </c>
      <c r="Y21" s="18">
        <v>1090.454919884935</v>
      </c>
      <c r="Z21" s="18">
        <v>2401.3452781077408</v>
      </c>
      <c r="AA21" s="18">
        <v>2293.6223397820349</v>
      </c>
      <c r="AB21" s="18">
        <v>2198.9271791972578</v>
      </c>
      <c r="AC21" s="18">
        <v>2273.8492204699141</v>
      </c>
      <c r="AD21" s="18">
        <v>1204.944450684696</v>
      </c>
      <c r="AE21" s="18">
        <v>557.19180244508755</v>
      </c>
      <c r="AF21" s="18">
        <v>2270.7733204327228</v>
      </c>
      <c r="AG21" s="18">
        <v>1815.865244183434</v>
      </c>
      <c r="AH21" s="17">
        <v>19779.595802974971</v>
      </c>
    </row>
    <row r="22" spans="1:34" s="16" customFormat="1" ht="21.75" customHeight="1">
      <c r="A22" s="9" t="s">
        <v>42</v>
      </c>
      <c r="B22" s="14">
        <f t="shared" si="2"/>
        <v>44927</v>
      </c>
      <c r="C22" s="9" t="s">
        <v>23</v>
      </c>
      <c r="D22" s="66" t="s">
        <v>25</v>
      </c>
      <c r="E22" s="21" t="s">
        <v>46</v>
      </c>
      <c r="F22" s="21" t="s">
        <v>26</v>
      </c>
      <c r="G22" s="20" t="str">
        <f t="array" ref="G22">IF(OR(C22="",F22=""),"",IFERROR(_xlfn.XLOOKUP(1, (INDEX(Emission_Factor_Unit,,1)=C22)*(INDEX(Emission_Factor_Unit,,2)=F22), INDEX(Emission_Factor_Unit,,4)),""))</f>
        <v>GJ</v>
      </c>
      <c r="H22" s="18">
        <v>46127.550475948548</v>
      </c>
      <c r="I22" s="18">
        <v>42890.360138472301</v>
      </c>
      <c r="J22" s="18">
        <v>47504.057765709447</v>
      </c>
      <c r="K22" s="18">
        <v>38672.152839208531</v>
      </c>
      <c r="L22" s="18">
        <v>48182.89319027798</v>
      </c>
      <c r="M22" s="18">
        <v>45334.639444398148</v>
      </c>
      <c r="N22" s="18">
        <v>43148.063322193637</v>
      </c>
      <c r="O22" s="18">
        <v>46802.962700184711</v>
      </c>
      <c r="P22" s="18">
        <v>23690.276578848639</v>
      </c>
      <c r="Q22" s="18">
        <v>33919.888790709047</v>
      </c>
      <c r="R22" s="18">
        <v>27928.772998785931</v>
      </c>
      <c r="S22" s="18">
        <v>803.50138557026685</v>
      </c>
      <c r="T22" s="18">
        <f t="shared" si="3"/>
        <v>445005.11963030725</v>
      </c>
      <c r="U22" s="19">
        <v>5.0351584999999997E-2</v>
      </c>
      <c r="V22" s="18">
        <v>2322.5952786315138</v>
      </c>
      <c r="W22" s="18">
        <v>2159.5976141929</v>
      </c>
      <c r="X22" s="18">
        <v>2391.9046024350291</v>
      </c>
      <c r="Y22" s="18">
        <v>1947.2041908163999</v>
      </c>
      <c r="Z22" s="18">
        <v>2426.0850420162028</v>
      </c>
      <c r="AA22" s="18">
        <v>2282.670951428966</v>
      </c>
      <c r="AB22" s="18">
        <v>2172.573377952815</v>
      </c>
      <c r="AC22" s="18">
        <v>2356.6033546501799</v>
      </c>
      <c r="AD22" s="18">
        <v>1192.8429748334061</v>
      </c>
      <c r="AE22" s="18">
        <v>1707.9201636359339</v>
      </c>
      <c r="AF22" s="18">
        <v>1406.2579875940739</v>
      </c>
      <c r="AG22" s="18">
        <v>40.457568313159072</v>
      </c>
      <c r="AH22" s="17">
        <v>22406.713106500589</v>
      </c>
    </row>
    <row r="23" spans="1:34" s="16" customFormat="1" ht="21.75" customHeight="1">
      <c r="A23" s="9" t="s">
        <v>42</v>
      </c>
      <c r="B23" s="14">
        <f t="shared" si="2"/>
        <v>44927</v>
      </c>
      <c r="C23" s="9" t="s">
        <v>23</v>
      </c>
      <c r="D23" s="66" t="s">
        <v>25</v>
      </c>
      <c r="E23" s="21" t="s">
        <v>46</v>
      </c>
      <c r="F23" s="21" t="s">
        <v>26</v>
      </c>
      <c r="G23" s="20" t="str">
        <f t="array" ref="G23">IF(OR(C23="",F23=""),"",IFERROR(_xlfn.XLOOKUP(1, (INDEX(Emission_Factor_Unit,,1)=C23)*(INDEX(Emission_Factor_Unit,,2)=F23), INDEX(Emission_Factor_Unit,,4)),""))</f>
        <v>GJ</v>
      </c>
      <c r="H23" s="18">
        <v>42204.856952705763</v>
      </c>
      <c r="I23" s="18">
        <v>41369.440961637258</v>
      </c>
      <c r="J23" s="18">
        <v>43871.491159913428</v>
      </c>
      <c r="K23" s="18">
        <v>45554.55309218305</v>
      </c>
      <c r="L23" s="18">
        <v>46914.996153450928</v>
      </c>
      <c r="M23" s="18">
        <v>44577.411685497049</v>
      </c>
      <c r="N23" s="18">
        <v>46981.359382959083</v>
      </c>
      <c r="O23" s="18">
        <v>1695.4995192153119</v>
      </c>
      <c r="P23" s="18">
        <v>0</v>
      </c>
      <c r="Q23" s="18">
        <v>50428.406316316541</v>
      </c>
      <c r="R23" s="18">
        <v>46179.146420042976</v>
      </c>
      <c r="S23" s="18">
        <v>42788.976101888911</v>
      </c>
      <c r="T23" s="18">
        <f t="shared" si="3"/>
        <v>452566.13774581032</v>
      </c>
      <c r="U23" s="19">
        <v>5.0351584999999997E-2</v>
      </c>
      <c r="V23" s="18">
        <v>2125.0814422670051</v>
      </c>
      <c r="W23" s="18">
        <v>2083.01692298236</v>
      </c>
      <c r="X23" s="18">
        <v>2208.99911621513</v>
      </c>
      <c r="Y23" s="18">
        <v>2293.7439521580682</v>
      </c>
      <c r="Z23" s="18">
        <v>2362.244416595157</v>
      </c>
      <c r="AA23" s="18">
        <v>2244.5433335622979</v>
      </c>
      <c r="AB23" s="18">
        <v>2365.585910386611</v>
      </c>
      <c r="AC23" s="18">
        <v>85.371088159228918</v>
      </c>
      <c r="AD23" s="18">
        <v>0</v>
      </c>
      <c r="AE23" s="18">
        <v>2539.150187050549</v>
      </c>
      <c r="AF23" s="18">
        <v>2325.19321619624</v>
      </c>
      <c r="AG23" s="18">
        <v>2154.492767257228</v>
      </c>
      <c r="AH23" s="17">
        <v>22787.422352829879</v>
      </c>
    </row>
    <row r="24" spans="1:34" s="16" customFormat="1" ht="21.75" customHeight="1">
      <c r="A24" s="9" t="s">
        <v>42</v>
      </c>
      <c r="B24" s="14">
        <f t="shared" si="2"/>
        <v>44927</v>
      </c>
      <c r="C24" s="9" t="s">
        <v>23</v>
      </c>
      <c r="D24" s="66" t="s">
        <v>25</v>
      </c>
      <c r="E24" s="21" t="s">
        <v>46</v>
      </c>
      <c r="F24" s="21" t="s">
        <v>26</v>
      </c>
      <c r="G24" s="20" t="str">
        <f t="array" ref="G24">IF(OR(C24="",F24=""),"",IFERROR(_xlfn.XLOOKUP(1, (INDEX(Emission_Factor_Unit,,1)=C24)*(INDEX(Emission_Factor_Unit,,2)=F24), INDEX(Emission_Factor_Unit,,4)),""))</f>
        <v>GJ</v>
      </c>
      <c r="H24" s="18">
        <v>46023.477477371031</v>
      </c>
      <c r="I24" s="18">
        <v>36528.018246187989</v>
      </c>
      <c r="J24" s="18">
        <v>47193.128589770291</v>
      </c>
      <c r="K24" s="18">
        <v>44051.201923451838</v>
      </c>
      <c r="L24" s="18">
        <v>10323.489928474901</v>
      </c>
      <c r="M24" s="18">
        <v>22461.844983322</v>
      </c>
      <c r="N24" s="18">
        <v>0</v>
      </c>
      <c r="O24" s="18">
        <v>46425.940579019712</v>
      </c>
      <c r="P24" s="18">
        <v>19242.549994183089</v>
      </c>
      <c r="Q24" s="18">
        <v>51950.871333239382</v>
      </c>
      <c r="R24" s="18">
        <v>40525.337296329802</v>
      </c>
      <c r="S24" s="18">
        <v>42304.717459541193</v>
      </c>
      <c r="T24" s="18">
        <f t="shared" si="3"/>
        <v>407030.57781089121</v>
      </c>
      <c r="U24" s="19">
        <v>5.0351584999999997E-2</v>
      </c>
      <c r="V24" s="18">
        <v>2317.3550381974328</v>
      </c>
      <c r="W24" s="18">
        <v>1839.2436156044851</v>
      </c>
      <c r="X24" s="18">
        <v>2376.2488256037491</v>
      </c>
      <c r="Y24" s="18">
        <v>2218.047838000849</v>
      </c>
      <c r="Z24" s="18">
        <v>519.804080630248</v>
      </c>
      <c r="AA24" s="18">
        <v>1130.989496934561</v>
      </c>
      <c r="AB24" s="18">
        <v>0</v>
      </c>
      <c r="AC24" s="18">
        <v>2337.6196932694602</v>
      </c>
      <c r="AD24" s="18">
        <v>968.89289164885906</v>
      </c>
      <c r="AE24" s="18">
        <v>2615.8087137596658</v>
      </c>
      <c r="AF24" s="18">
        <v>2040.5149655298201</v>
      </c>
      <c r="AG24" s="18">
        <v>2130.1095770650718</v>
      </c>
      <c r="AH24" s="17">
        <v>20494.634736244199</v>
      </c>
    </row>
    <row r="25" spans="1:34" s="16" customFormat="1" ht="21.75" customHeight="1">
      <c r="A25" s="9" t="s">
        <v>42</v>
      </c>
      <c r="B25" s="14">
        <f t="shared" si="2"/>
        <v>44927</v>
      </c>
      <c r="C25" s="9" t="s">
        <v>23</v>
      </c>
      <c r="D25" s="66" t="s">
        <v>25</v>
      </c>
      <c r="E25" s="21" t="s">
        <v>46</v>
      </c>
      <c r="F25" s="21" t="s">
        <v>26</v>
      </c>
      <c r="G25" s="20" t="str">
        <f t="array" ref="G25">IF(OR(C25="",F25=""),"",IFERROR(_xlfn.XLOOKUP(1, (INDEX(Emission_Factor_Unit,,1)=C25)*(INDEX(Emission_Factor_Unit,,2)=F25), INDEX(Emission_Factor_Unit,,4)),""))</f>
        <v>GJ</v>
      </c>
      <c r="H25" s="18">
        <v>44211.958180953283</v>
      </c>
      <c r="I25" s="18">
        <v>44088.041676345172</v>
      </c>
      <c r="J25" s="18">
        <v>46708.037184811823</v>
      </c>
      <c r="K25" s="18">
        <v>41386.352861133491</v>
      </c>
      <c r="L25" s="18">
        <v>46576.226216052281</v>
      </c>
      <c r="M25" s="18">
        <v>44806.306316213253</v>
      </c>
      <c r="N25" s="18">
        <v>43093.734457246363</v>
      </c>
      <c r="O25" s="18">
        <v>48147.758567378027</v>
      </c>
      <c r="P25" s="18">
        <v>7862.8281486386768</v>
      </c>
      <c r="Q25" s="18">
        <v>36846.456880521597</v>
      </c>
      <c r="R25" s="18">
        <v>46033.785603326643</v>
      </c>
      <c r="S25" s="18">
        <v>40252.440962688539</v>
      </c>
      <c r="T25" s="18">
        <f t="shared" si="3"/>
        <v>490013.92705530918</v>
      </c>
      <c r="U25" s="19">
        <v>5.0351584999999997E-2</v>
      </c>
      <c r="V25" s="18">
        <v>2226.1421703647138</v>
      </c>
      <c r="W25" s="18">
        <v>2219.9027779500361</v>
      </c>
      <c r="X25" s="18">
        <v>2351.823704494213</v>
      </c>
      <c r="Y25" s="18">
        <v>2083.8684639273561</v>
      </c>
      <c r="Z25" s="18">
        <v>2345.1868132967852</v>
      </c>
      <c r="AA25" s="18">
        <v>2256.068541016848</v>
      </c>
      <c r="AB25" s="18">
        <v>2169.8378334914692</v>
      </c>
      <c r="AC25" s="18">
        <v>2424.315958064813</v>
      </c>
      <c r="AD25" s="18">
        <v>395.90585986657288</v>
      </c>
      <c r="AE25" s="18">
        <v>1855.2775055684181</v>
      </c>
      <c r="AF25" s="18">
        <v>2317.8740686776769</v>
      </c>
      <c r="AG25" s="18">
        <v>2026.774202590294</v>
      </c>
      <c r="AH25" s="17">
        <v>24672.9778993092</v>
      </c>
    </row>
    <row r="26" spans="1:34" s="16" customFormat="1" ht="21.75" customHeight="1">
      <c r="A26" s="9" t="s">
        <v>42</v>
      </c>
      <c r="B26" s="14">
        <f t="shared" si="2"/>
        <v>44927</v>
      </c>
      <c r="C26" s="9" t="s">
        <v>23</v>
      </c>
      <c r="D26" s="66" t="s">
        <v>25</v>
      </c>
      <c r="E26" s="21" t="s">
        <v>46</v>
      </c>
      <c r="F26" s="21" t="s">
        <v>26</v>
      </c>
      <c r="G26" s="20" t="str">
        <f t="array" ref="G26">IF(OR(C26="",F26=""),"",IFERROR(_xlfn.XLOOKUP(1, (INDEX(Emission_Factor_Unit,,1)=C26)*(INDEX(Emission_Factor_Unit,,2)=F26), INDEX(Emission_Factor_Unit,,4)),""))</f>
        <v>GJ</v>
      </c>
      <c r="H26" s="18">
        <v>7721.3421119963696</v>
      </c>
      <c r="I26" s="18">
        <v>35590.973954275767</v>
      </c>
      <c r="J26" s="18">
        <v>49153.971984143427</v>
      </c>
      <c r="K26" s="18">
        <v>41260.864600913977</v>
      </c>
      <c r="L26" s="18">
        <v>42749.585899205573</v>
      </c>
      <c r="M26" s="18">
        <v>43203.208717716538</v>
      </c>
      <c r="N26" s="18">
        <v>43765.571105534349</v>
      </c>
      <c r="O26" s="18">
        <v>44189.11840149339</v>
      </c>
      <c r="P26" s="18">
        <v>19530.738019432949</v>
      </c>
      <c r="Q26" s="18">
        <v>19348.303513456322</v>
      </c>
      <c r="R26" s="18">
        <v>10802.334974673349</v>
      </c>
      <c r="S26" s="18">
        <v>41314.44592143425</v>
      </c>
      <c r="T26" s="18">
        <f t="shared" si="3"/>
        <v>398630.45920427627</v>
      </c>
      <c r="U26" s="19">
        <v>5.0351584999999997E-2</v>
      </c>
      <c r="V26" s="18">
        <v>388.78181366626472</v>
      </c>
      <c r="W26" s="18">
        <v>1792.0619502915031</v>
      </c>
      <c r="X26" s="18">
        <v>2474.980398447216</v>
      </c>
      <c r="Y26" s="18">
        <v>2077.549931126412</v>
      </c>
      <c r="Z26" s="18">
        <v>2152.5094081186512</v>
      </c>
      <c r="AA26" s="18">
        <v>2175.350036022845</v>
      </c>
      <c r="AB26" s="18">
        <v>2203.6658735938572</v>
      </c>
      <c r="AC26" s="18">
        <v>2224.9921512678579</v>
      </c>
      <c r="AD26" s="18">
        <v>983.40361549820989</v>
      </c>
      <c r="AE26" s="18">
        <v>974.21774896359443</v>
      </c>
      <c r="AF26" s="18">
        <v>543.91468767573804</v>
      </c>
      <c r="AG26" s="18">
        <v>2080.2478355409999</v>
      </c>
      <c r="AH26" s="17">
        <v>20071.675450213152</v>
      </c>
    </row>
    <row r="27" spans="1:34" s="16" customFormat="1" ht="21.75" customHeight="1">
      <c r="A27" s="9" t="s">
        <v>42</v>
      </c>
      <c r="B27" s="14">
        <f t="shared" si="2"/>
        <v>44927</v>
      </c>
      <c r="C27" s="9" t="s">
        <v>23</v>
      </c>
      <c r="D27" s="66" t="s">
        <v>25</v>
      </c>
      <c r="E27" s="21" t="s">
        <v>46</v>
      </c>
      <c r="F27" s="21" t="s">
        <v>26</v>
      </c>
      <c r="G27" s="20" t="str">
        <f t="array" ref="G27">IF(OR(C27="",F27=""),"",IFERROR(_xlfn.XLOOKUP(1, (INDEX(Emission_Factor_Unit,,1)=C27)*(INDEX(Emission_Factor_Unit,,2)=F27), INDEX(Emission_Factor_Unit,,4)),""))</f>
        <v>GJ</v>
      </c>
      <c r="H27" s="18">
        <v>49118.711319143549</v>
      </c>
      <c r="I27" s="18">
        <v>36432.574577088562</v>
      </c>
      <c r="J27" s="18">
        <v>48568.995550133637</v>
      </c>
      <c r="K27" s="18">
        <v>42522.55699461433</v>
      </c>
      <c r="L27" s="18">
        <v>41250.006431901318</v>
      </c>
      <c r="M27" s="18">
        <v>46331.335959832119</v>
      </c>
      <c r="N27" s="18">
        <v>45152.818899470389</v>
      </c>
      <c r="O27" s="18">
        <v>37659.238343774319</v>
      </c>
      <c r="P27" s="18">
        <v>18420.53990496711</v>
      </c>
      <c r="Q27" s="18">
        <v>0</v>
      </c>
      <c r="R27" s="18">
        <v>41631.459602541348</v>
      </c>
      <c r="S27" s="18">
        <v>36312.917257447552</v>
      </c>
      <c r="T27" s="18">
        <f t="shared" si="3"/>
        <v>443401.1548409143</v>
      </c>
      <c r="U27" s="19">
        <v>5.0351584999999997E-2</v>
      </c>
      <c r="V27" s="18">
        <v>2473.204968076318</v>
      </c>
      <c r="W27" s="18">
        <v>1834.4378755871139</v>
      </c>
      <c r="X27" s="18">
        <v>2445.5259078071758</v>
      </c>
      <c r="Y27" s="18">
        <v>2141.078142931668</v>
      </c>
      <c r="Z27" s="18">
        <v>2077.0032051064259</v>
      </c>
      <c r="AA27" s="18">
        <v>2332.8562007450432</v>
      </c>
      <c r="AB27" s="18">
        <v>2273.5159988062901</v>
      </c>
      <c r="AC27" s="18">
        <v>1896.2023405018119</v>
      </c>
      <c r="AD27" s="18">
        <v>927.50338077084314</v>
      </c>
      <c r="AE27" s="18">
        <v>0</v>
      </c>
      <c r="AF27" s="18">
        <v>2096.2099768514272</v>
      </c>
      <c r="AG27" s="18">
        <v>1828.412939886337</v>
      </c>
      <c r="AH27" s="17">
        <v>22325.950937070462</v>
      </c>
    </row>
    <row r="28" spans="1:34" s="16" customFormat="1" ht="21.75" customHeight="1">
      <c r="A28" s="9" t="s">
        <v>42</v>
      </c>
      <c r="B28" s="14">
        <f t="shared" si="2"/>
        <v>44927</v>
      </c>
      <c r="C28" s="9" t="s">
        <v>23</v>
      </c>
      <c r="D28" s="66" t="s">
        <v>30</v>
      </c>
      <c r="E28" s="21" t="s">
        <v>47</v>
      </c>
      <c r="F28" s="21" t="s">
        <v>30</v>
      </c>
      <c r="G28" s="20" t="str">
        <f t="array" ref="G28">IF(OR(C28="",F28=""),"",IFERROR(_xlfn.XLOOKUP(1, (INDEX(Emission_Factor_Unit,,1)=C28)*(INDEX(Emission_Factor_Unit,,2)=F28), INDEX(Emission_Factor_Unit,,4)),""))</f>
        <v>m³</v>
      </c>
      <c r="H28" s="18">
        <v>2714.0819257339281</v>
      </c>
      <c r="I28" s="18">
        <v>10761.28463673246</v>
      </c>
      <c r="J28" s="18">
        <v>0</v>
      </c>
      <c r="K28" s="18">
        <v>19620783.622115031</v>
      </c>
      <c r="L28" s="18">
        <v>1773197.0679984509</v>
      </c>
      <c r="M28" s="18">
        <v>7315774.6996060908</v>
      </c>
      <c r="N28" s="18">
        <v>113031.97443432971</v>
      </c>
      <c r="O28" s="18">
        <v>0</v>
      </c>
      <c r="P28" s="18">
        <v>78571445.895238638</v>
      </c>
      <c r="Q28" s="18">
        <v>2311136.4721460142</v>
      </c>
      <c r="R28" s="18">
        <v>1679932.0433822961</v>
      </c>
      <c r="S28" s="18">
        <v>3759417.1052746829</v>
      </c>
      <c r="T28" s="18">
        <f t="shared" si="3"/>
        <v>115158194.24675801</v>
      </c>
      <c r="U28" s="19">
        <v>1.8392250000000001E-3</v>
      </c>
      <c r="V28" s="18">
        <v>4.9918073298579833</v>
      </c>
      <c r="W28" s="18">
        <v>19.792423735994252</v>
      </c>
      <c r="X28" s="18">
        <v>0</v>
      </c>
      <c r="Y28" s="18">
        <v>36087.03575738451</v>
      </c>
      <c r="Z28" s="18">
        <v>3261.3083773894509</v>
      </c>
      <c r="AA28" s="18">
        <v>13455.35572188301</v>
      </c>
      <c r="AB28" s="18">
        <v>207.89123317898</v>
      </c>
      <c r="AC28" s="18">
        <v>0</v>
      </c>
      <c r="AD28" s="18">
        <v>144510.56757667029</v>
      </c>
      <c r="AE28" s="18">
        <v>4250.699977982752</v>
      </c>
      <c r="AF28" s="18">
        <v>3089.773012489803</v>
      </c>
      <c r="AG28" s="18">
        <v>6914.4139254488291</v>
      </c>
      <c r="AH28" s="17">
        <v>211801.8298134935</v>
      </c>
    </row>
    <row r="29" spans="1:34" s="16" customFormat="1" ht="21.75" customHeight="1">
      <c r="A29" s="9" t="s">
        <v>42</v>
      </c>
      <c r="B29" s="14">
        <f t="shared" si="2"/>
        <v>44927</v>
      </c>
      <c r="C29" s="9" t="s">
        <v>23</v>
      </c>
      <c r="D29" s="66" t="s">
        <v>30</v>
      </c>
      <c r="E29" s="21" t="s">
        <v>48</v>
      </c>
      <c r="F29" s="21" t="s">
        <v>30</v>
      </c>
      <c r="G29" s="20" t="str">
        <f t="array" ref="G29">IF(OR(C29="",F29=""),"",IFERROR(_xlfn.XLOOKUP(1, (INDEX(Emission_Factor_Unit,,1)=C29)*(INDEX(Emission_Factor_Unit,,2)=F29), INDEX(Emission_Factor_Unit,,4)),""))</f>
        <v>m³</v>
      </c>
      <c r="H29" s="18">
        <v>0</v>
      </c>
      <c r="I29" s="18">
        <v>0</v>
      </c>
      <c r="J29" s="18">
        <v>0</v>
      </c>
      <c r="K29" s="18">
        <v>0</v>
      </c>
      <c r="L29" s="18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f t="shared" si="3"/>
        <v>0</v>
      </c>
      <c r="U29" s="19">
        <v>1.8392250000000001E-3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  <c r="AG29" s="18">
        <v>0</v>
      </c>
      <c r="AH29" s="17">
        <v>0</v>
      </c>
    </row>
    <row r="30" spans="1:34" s="16" customFormat="1" ht="21.75" customHeight="1">
      <c r="A30" s="9" t="s">
        <v>42</v>
      </c>
      <c r="B30" s="14">
        <f t="shared" si="2"/>
        <v>44927</v>
      </c>
      <c r="C30" s="9" t="s">
        <v>23</v>
      </c>
      <c r="D30" s="66" t="s">
        <v>30</v>
      </c>
      <c r="E30" s="21" t="s">
        <v>49</v>
      </c>
      <c r="F30" s="21" t="s">
        <v>30</v>
      </c>
      <c r="G30" s="20" t="str">
        <f t="array" ref="G30">IF(OR(C30="",F30=""),"",IFERROR(_xlfn.XLOOKUP(1, (INDEX(Emission_Factor_Unit,,1)=C30)*(INDEX(Emission_Factor_Unit,,2)=F30), INDEX(Emission_Factor_Unit,,4)),""))</f>
        <v>m³</v>
      </c>
      <c r="H30" s="18">
        <v>624924.24090262013</v>
      </c>
      <c r="I30" s="18">
        <v>706765.05055461579</v>
      </c>
      <c r="J30" s="18">
        <v>678112.55474425049</v>
      </c>
      <c r="K30" s="18">
        <v>606056.57031915965</v>
      </c>
      <c r="L30" s="18">
        <v>744369.62050873879</v>
      </c>
      <c r="M30" s="18">
        <v>688470.68096809019</v>
      </c>
      <c r="N30" s="18">
        <v>700696.2201107766</v>
      </c>
      <c r="O30" s="18">
        <v>744360.2049814167</v>
      </c>
      <c r="P30" s="18">
        <v>218641.09845185</v>
      </c>
      <c r="Q30" s="18">
        <v>404042.24694814847</v>
      </c>
      <c r="R30" s="18">
        <v>612543.86864397372</v>
      </c>
      <c r="S30" s="18">
        <v>490420.29459961603</v>
      </c>
      <c r="T30" s="18">
        <f t="shared" si="3"/>
        <v>7219402.6517332559</v>
      </c>
      <c r="U30" s="19">
        <v>1.8392250000000001E-3</v>
      </c>
      <c r="V30" s="18">
        <v>1149.376286974122</v>
      </c>
      <c r="W30" s="18">
        <v>1299.8999501063131</v>
      </c>
      <c r="X30" s="18">
        <v>1247.2015634994939</v>
      </c>
      <c r="Y30" s="18">
        <v>1114.6743955452559</v>
      </c>
      <c r="Z30" s="18">
        <v>1369.063215280185</v>
      </c>
      <c r="AA30" s="18">
        <v>1266.2524882035359</v>
      </c>
      <c r="AB30" s="18">
        <v>1288.738005433243</v>
      </c>
      <c r="AC30" s="18">
        <v>1369.0458980069459</v>
      </c>
      <c r="AD30" s="18">
        <v>402.13017430010387</v>
      </c>
      <c r="AE30" s="18">
        <v>743.12460164320828</v>
      </c>
      <c r="AF30" s="18">
        <v>1126.605996806712</v>
      </c>
      <c r="AG30" s="18">
        <v>901.99326633497867</v>
      </c>
      <c r="AH30" s="17">
        <v>13278.1058421341</v>
      </c>
    </row>
    <row r="31" spans="1:34" s="16" customFormat="1" ht="21.75" customHeight="1">
      <c r="A31" s="9" t="s">
        <v>42</v>
      </c>
      <c r="B31" s="14">
        <f t="shared" si="2"/>
        <v>44927</v>
      </c>
      <c r="C31" s="9" t="s">
        <v>23</v>
      </c>
      <c r="D31" s="66" t="s">
        <v>30</v>
      </c>
      <c r="E31" s="21" t="s">
        <v>50</v>
      </c>
      <c r="F31" s="21" t="s">
        <v>30</v>
      </c>
      <c r="G31" s="20" t="str">
        <f t="array" ref="G31">IF(OR(C31="",F31=""),"",IFERROR(_xlfn.XLOOKUP(1, (INDEX(Emission_Factor_Unit,,1)=C31)*(INDEX(Emission_Factor_Unit,,2)=F31), INDEX(Emission_Factor_Unit,,4)),""))</f>
        <v>m³</v>
      </c>
      <c r="H31" s="18">
        <v>4081.5281438244529</v>
      </c>
      <c r="I31" s="18">
        <v>3646.8852602035749</v>
      </c>
      <c r="J31" s="18">
        <v>3945.626102355955</v>
      </c>
      <c r="K31" s="18">
        <v>3869.6888062764419</v>
      </c>
      <c r="L31" s="18">
        <v>3521.1352636654901</v>
      </c>
      <c r="M31" s="18">
        <v>4118.8876691683836</v>
      </c>
      <c r="N31" s="18">
        <v>4120.1059145600357</v>
      </c>
      <c r="O31" s="18">
        <v>4055.268187604443</v>
      </c>
      <c r="P31" s="18">
        <v>3559.171592004785</v>
      </c>
      <c r="Q31" s="18">
        <v>3660.6920413089429</v>
      </c>
      <c r="R31" s="18">
        <v>3477.1430689670219</v>
      </c>
      <c r="S31" s="18">
        <v>3734.0574860060842</v>
      </c>
      <c r="T31" s="18">
        <f t="shared" si="3"/>
        <v>45790.189535945625</v>
      </c>
      <c r="U31" s="19">
        <v>1.8392250000000001E-3</v>
      </c>
      <c r="V31" s="18">
        <v>7.5068486003255286</v>
      </c>
      <c r="W31" s="18">
        <v>6.7074425426979207</v>
      </c>
      <c r="X31" s="18">
        <v>7.2568941681056298</v>
      </c>
      <c r="Y31" s="18">
        <v>7.1172283947237904</v>
      </c>
      <c r="Z31" s="18">
        <v>6.47616000531516</v>
      </c>
      <c r="AA31" s="18">
        <v>7.5755611733262196</v>
      </c>
      <c r="AB31" s="18">
        <v>7.5778018007066814</v>
      </c>
      <c r="AC31" s="18">
        <v>7.4585506323467801</v>
      </c>
      <c r="AD31" s="18">
        <v>6.5461173713050007</v>
      </c>
      <c r="AE31" s="18">
        <v>6.7328363196764398</v>
      </c>
      <c r="AF31" s="18">
        <v>6.3952484610208709</v>
      </c>
      <c r="AG31" s="18">
        <v>6.8677718796995393</v>
      </c>
      <c r="AH31" s="17">
        <v>84.21846134924958</v>
      </c>
    </row>
    <row r="32" spans="1:34" s="16" customFormat="1" ht="21.75" customHeight="1">
      <c r="A32" s="9" t="s">
        <v>42</v>
      </c>
      <c r="B32" s="14">
        <f t="shared" si="2"/>
        <v>44927</v>
      </c>
      <c r="C32" s="9" t="s">
        <v>23</v>
      </c>
      <c r="D32" s="66" t="s">
        <v>30</v>
      </c>
      <c r="E32" s="21" t="s">
        <v>51</v>
      </c>
      <c r="F32" s="21" t="s">
        <v>30</v>
      </c>
      <c r="G32" s="20" t="str">
        <f t="array" ref="G32">IF(OR(C32="",F32=""),"",IFERROR(_xlfn.XLOOKUP(1, (INDEX(Emission_Factor_Unit,,1)=C32)*(INDEX(Emission_Factor_Unit,,2)=F32), INDEX(Emission_Factor_Unit,,4)),""))</f>
        <v>m³</v>
      </c>
      <c r="H32" s="18">
        <v>0</v>
      </c>
      <c r="I32" s="18">
        <v>0</v>
      </c>
      <c r="J32" s="18">
        <v>0</v>
      </c>
      <c r="K32" s="18">
        <v>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f t="shared" si="3"/>
        <v>0</v>
      </c>
      <c r="U32" s="19">
        <v>1.8392250000000001E-3</v>
      </c>
      <c r="V32" s="18">
        <v>0</v>
      </c>
      <c r="W32" s="18">
        <v>0</v>
      </c>
      <c r="X32" s="18">
        <v>0</v>
      </c>
      <c r="Y32" s="18">
        <v>0</v>
      </c>
      <c r="Z32" s="18">
        <v>0</v>
      </c>
      <c r="AA32" s="18">
        <v>0</v>
      </c>
      <c r="AB32" s="18">
        <v>0</v>
      </c>
      <c r="AC32" s="18">
        <v>0</v>
      </c>
      <c r="AD32" s="18">
        <v>0</v>
      </c>
      <c r="AE32" s="18">
        <v>0</v>
      </c>
      <c r="AF32" s="18">
        <v>0</v>
      </c>
      <c r="AG32" s="18">
        <v>0</v>
      </c>
      <c r="AH32" s="17">
        <v>0</v>
      </c>
    </row>
    <row r="33" spans="1:34" s="16" customFormat="1" ht="21.75" customHeight="1">
      <c r="A33" s="9" t="s">
        <v>42</v>
      </c>
      <c r="B33" s="14">
        <f t="shared" si="2"/>
        <v>44927</v>
      </c>
      <c r="C33" s="9" t="s">
        <v>23</v>
      </c>
      <c r="D33" s="66" t="s">
        <v>30</v>
      </c>
      <c r="E33" s="21" t="s">
        <v>52</v>
      </c>
      <c r="F33" s="21" t="s">
        <v>30</v>
      </c>
      <c r="G33" s="20" t="str">
        <f t="array" ref="G33">IF(OR(C33="",F33=""),"",IFERROR(_xlfn.XLOOKUP(1, (INDEX(Emission_Factor_Unit,,1)=C33)*(INDEX(Emission_Factor_Unit,,2)=F33), INDEX(Emission_Factor_Unit,,4)),""))</f>
        <v>m³</v>
      </c>
      <c r="H33" s="18">
        <v>0</v>
      </c>
      <c r="I33" s="18">
        <v>0</v>
      </c>
      <c r="J33" s="18">
        <v>0</v>
      </c>
      <c r="K33" s="18">
        <v>0</v>
      </c>
      <c r="L33" s="18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v>0</v>
      </c>
      <c r="T33" s="18">
        <f t="shared" si="3"/>
        <v>0</v>
      </c>
      <c r="U33" s="19">
        <v>1.8392250000000001E-3</v>
      </c>
      <c r="V33" s="18">
        <v>0</v>
      </c>
      <c r="W33" s="18">
        <v>0</v>
      </c>
      <c r="X33" s="18">
        <v>0</v>
      </c>
      <c r="Y33" s="18">
        <v>0</v>
      </c>
      <c r="Z33" s="18">
        <v>0</v>
      </c>
      <c r="AA33" s="18">
        <v>0</v>
      </c>
      <c r="AB33" s="18">
        <v>0</v>
      </c>
      <c r="AC33" s="18">
        <v>0</v>
      </c>
      <c r="AD33" s="18">
        <v>0</v>
      </c>
      <c r="AE33" s="18">
        <v>0</v>
      </c>
      <c r="AF33" s="18">
        <v>0</v>
      </c>
      <c r="AG33" s="18">
        <v>0</v>
      </c>
      <c r="AH33" s="17">
        <v>0</v>
      </c>
    </row>
    <row r="34" spans="1:34" s="16" customFormat="1" ht="21.75" customHeight="1">
      <c r="A34" s="9" t="s">
        <v>42</v>
      </c>
      <c r="B34" s="14">
        <f t="shared" si="2"/>
        <v>44927</v>
      </c>
      <c r="C34" s="9" t="s">
        <v>23</v>
      </c>
      <c r="D34" s="66" t="s">
        <v>30</v>
      </c>
      <c r="E34" s="21" t="s">
        <v>53</v>
      </c>
      <c r="F34" s="21" t="s">
        <v>30</v>
      </c>
      <c r="G34" s="20" t="str">
        <f t="array" ref="G34">IF(OR(C34="",F34=""),"",IFERROR(_xlfn.XLOOKUP(1, (INDEX(Emission_Factor_Unit,,1)=C34)*(INDEX(Emission_Factor_Unit,,2)=F34), INDEX(Emission_Factor_Unit,,4)),""))</f>
        <v>m³</v>
      </c>
      <c r="H34" s="18">
        <v>0</v>
      </c>
      <c r="I34" s="18">
        <v>0</v>
      </c>
      <c r="J34" s="18">
        <v>0</v>
      </c>
      <c r="K34" s="18">
        <v>0</v>
      </c>
      <c r="L34" s="18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v>0</v>
      </c>
      <c r="T34" s="18">
        <f t="shared" si="3"/>
        <v>0</v>
      </c>
      <c r="U34" s="19">
        <v>1.8392250000000001E-3</v>
      </c>
      <c r="V34" s="18">
        <v>0</v>
      </c>
      <c r="W34" s="18">
        <v>0</v>
      </c>
      <c r="X34" s="18">
        <v>0</v>
      </c>
      <c r="Y34" s="18">
        <v>0</v>
      </c>
      <c r="Z34" s="18">
        <v>0</v>
      </c>
      <c r="AA34" s="18">
        <v>0</v>
      </c>
      <c r="AB34" s="18">
        <v>0</v>
      </c>
      <c r="AC34" s="18">
        <v>0</v>
      </c>
      <c r="AD34" s="18">
        <v>0</v>
      </c>
      <c r="AE34" s="18">
        <v>0</v>
      </c>
      <c r="AF34" s="18">
        <v>0</v>
      </c>
      <c r="AG34" s="18">
        <v>0</v>
      </c>
      <c r="AH34" s="17">
        <v>0</v>
      </c>
    </row>
    <row r="35" spans="1:34" s="16" customFormat="1" ht="21.75" customHeight="1">
      <c r="A35" s="9" t="s">
        <v>42</v>
      </c>
      <c r="B35" s="14">
        <f t="shared" si="2"/>
        <v>44927</v>
      </c>
      <c r="C35" s="9" t="s">
        <v>23</v>
      </c>
      <c r="D35" s="66" t="s">
        <v>30</v>
      </c>
      <c r="E35" s="21" t="s">
        <v>54</v>
      </c>
      <c r="F35" s="21" t="s">
        <v>30</v>
      </c>
      <c r="G35" s="20" t="str">
        <f t="array" ref="G35">IF(OR(C35="",F35=""),"",IFERROR(_xlfn.XLOOKUP(1, (INDEX(Emission_Factor_Unit,,1)=C35)*(INDEX(Emission_Factor_Unit,,2)=F35), INDEX(Emission_Factor_Unit,,4)),""))</f>
        <v>m³</v>
      </c>
      <c r="H35" s="18">
        <v>1934217.0006253901</v>
      </c>
      <c r="I35" s="18">
        <v>1750449.246805446</v>
      </c>
      <c r="J35" s="18">
        <v>1938327.151753935</v>
      </c>
      <c r="K35" s="18">
        <v>1883307.3669771419</v>
      </c>
      <c r="L35" s="18">
        <v>2104746.455823692</v>
      </c>
      <c r="M35" s="18">
        <v>2043775.3758416041</v>
      </c>
      <c r="N35" s="18">
        <v>2104657.9742452842</v>
      </c>
      <c r="O35" s="18">
        <v>2089216.1206983391</v>
      </c>
      <c r="P35" s="18">
        <v>1984925.4295884881</v>
      </c>
      <c r="Q35" s="18">
        <v>2068382.951250555</v>
      </c>
      <c r="R35" s="18">
        <v>2011805.6482784811</v>
      </c>
      <c r="S35" s="18">
        <v>2077854.116369535</v>
      </c>
      <c r="T35" s="18">
        <f t="shared" si="3"/>
        <v>23991664.83825789</v>
      </c>
      <c r="U35" s="19">
        <v>1.8392250000000001E-3</v>
      </c>
      <c r="V35" s="18">
        <v>3557.4602629752321</v>
      </c>
      <c r="W35" s="18">
        <v>3219.470015955746</v>
      </c>
      <c r="X35" s="18">
        <v>3565.019755684631</v>
      </c>
      <c r="Y35" s="18">
        <v>3463.8259920285341</v>
      </c>
      <c r="Z35" s="18">
        <v>3871.1023002123311</v>
      </c>
      <c r="AA35" s="18">
        <v>3758.9627656322732</v>
      </c>
      <c r="AB35" s="18">
        <v>3870.939562681282</v>
      </c>
      <c r="AC35" s="18">
        <v>3842.5385195914032</v>
      </c>
      <c r="AD35" s="18">
        <v>3650.7244732348859</v>
      </c>
      <c r="AE35" s="18">
        <v>3804.221633513801</v>
      </c>
      <c r="AF35" s="18">
        <v>3700.1632434549888</v>
      </c>
      <c r="AG35" s="18">
        <v>3821.6412371797569</v>
      </c>
      <c r="AH35" s="17">
        <v>44126.069762144863</v>
      </c>
    </row>
    <row r="36" spans="1:34" s="16" customFormat="1" ht="21.75" customHeight="1">
      <c r="A36" s="9" t="s">
        <v>42</v>
      </c>
      <c r="B36" s="14">
        <f t="shared" si="2"/>
        <v>44927</v>
      </c>
      <c r="C36" s="9" t="s">
        <v>23</v>
      </c>
      <c r="D36" s="66" t="s">
        <v>34</v>
      </c>
      <c r="E36" s="21" t="s">
        <v>34</v>
      </c>
      <c r="F36" s="21" t="s">
        <v>34</v>
      </c>
      <c r="G36" s="20" t="str">
        <f t="array" ref="G36">IF(OR(C36="",F36=""),"",IFERROR(_xlfn.XLOOKUP(1, (INDEX(Emission_Factor_Unit,,1)=C36)*(INDEX(Emission_Factor_Unit,,2)=F36), INDEX(Emission_Factor_Unit,,4)),""))</f>
        <v>m³</v>
      </c>
      <c r="H36" s="18">
        <v>98547.295957284499</v>
      </c>
      <c r="I36" s="18">
        <v>96169.691075514842</v>
      </c>
      <c r="J36" s="18">
        <v>105540.995423341</v>
      </c>
      <c r="K36" s="18">
        <v>93439.555682684964</v>
      </c>
      <c r="L36" s="18">
        <v>104183.0415713196</v>
      </c>
      <c r="M36" s="18">
        <v>98820.783752860385</v>
      </c>
      <c r="N36" s="18">
        <v>104870.7131960336</v>
      </c>
      <c r="O36" s="18">
        <v>99193.865369946594</v>
      </c>
      <c r="P36" s="18">
        <v>16156.33104500381</v>
      </c>
      <c r="Q36" s="18">
        <v>60194.189549961848</v>
      </c>
      <c r="R36" s="18">
        <v>93388.96834477497</v>
      </c>
      <c r="S36" s="18">
        <v>82656.548436308149</v>
      </c>
      <c r="T36" s="18">
        <f t="shared" si="3"/>
        <v>1053161.9794050341</v>
      </c>
      <c r="U36" s="19">
        <v>1.311E-2</v>
      </c>
      <c r="V36" s="18">
        <v>1291.95505</v>
      </c>
      <c r="W36" s="18">
        <v>1260.7846500000001</v>
      </c>
      <c r="X36" s="18">
        <v>1383.6424500000001</v>
      </c>
      <c r="Y36" s="18">
        <v>1224.992575</v>
      </c>
      <c r="Z36" s="18">
        <v>1365.8396749999999</v>
      </c>
      <c r="AA36" s="18">
        <v>1295.540475</v>
      </c>
      <c r="AB36" s="18">
        <v>1374.8550499999999</v>
      </c>
      <c r="AC36" s="18">
        <v>1300.4315750000001</v>
      </c>
      <c r="AD36" s="18">
        <v>211.80950000000001</v>
      </c>
      <c r="AE36" s="18">
        <v>789.14582499999995</v>
      </c>
      <c r="AF36" s="18">
        <v>1224.329375</v>
      </c>
      <c r="AG36" s="18">
        <v>1083.62735</v>
      </c>
      <c r="AH36" s="17">
        <v>13806.95355</v>
      </c>
    </row>
    <row r="37" spans="1:34" s="16" customFormat="1" ht="21.75" customHeight="1">
      <c r="A37" s="9" t="s">
        <v>55</v>
      </c>
      <c r="B37" s="14">
        <f t="shared" si="2"/>
        <v>44927</v>
      </c>
      <c r="C37" s="9" t="s">
        <v>23</v>
      </c>
      <c r="D37" s="66" t="s">
        <v>25</v>
      </c>
      <c r="E37" s="21" t="s">
        <v>56</v>
      </c>
      <c r="F37" s="21" t="s">
        <v>26</v>
      </c>
      <c r="G37" s="20" t="str">
        <f t="array" ref="G37">IF(OR(C37="",F37=""),"",IFERROR(_xlfn.XLOOKUP(1, (INDEX(Emission_Factor_Unit,,1)=C37)*(INDEX(Emission_Factor_Unit,,2)=F37), INDEX(Emission_Factor_Unit,,4)),""))</f>
        <v>GJ</v>
      </c>
      <c r="H37" s="18">
        <v>7811.8583650539704</v>
      </c>
      <c r="I37" s="18">
        <v>6481.7942954545078</v>
      </c>
      <c r="J37" s="18">
        <v>6917.1889745542449</v>
      </c>
      <c r="K37" s="18">
        <v>6606.3985451776753</v>
      </c>
      <c r="L37" s="18">
        <v>7191.5038552825717</v>
      </c>
      <c r="M37" s="18">
        <v>6980.3665617075103</v>
      </c>
      <c r="N37" s="18">
        <v>8087.5583709912953</v>
      </c>
      <c r="O37" s="18">
        <v>9530.4781267140625</v>
      </c>
      <c r="P37" s="18">
        <v>92.263900717259602</v>
      </c>
      <c r="Q37" s="18">
        <v>5666.8595191867971</v>
      </c>
      <c r="R37" s="18">
        <v>4882.3431100802181</v>
      </c>
      <c r="S37" s="18">
        <v>9169.0657131712178</v>
      </c>
      <c r="T37" s="18">
        <f t="shared" si="3"/>
        <v>79417.67933809133</v>
      </c>
      <c r="U37" s="19">
        <v>5.0351584999999997E-2</v>
      </c>
      <c r="V37" s="18">
        <v>393.33945047597598</v>
      </c>
      <c r="W37" s="18">
        <v>326.36861642009268</v>
      </c>
      <c r="X37" s="18">
        <v>348.29142861333088</v>
      </c>
      <c r="Y37" s="18">
        <v>332.64263789139011</v>
      </c>
      <c r="Z37" s="18">
        <v>362.10361764708807</v>
      </c>
      <c r="AA37" s="18">
        <v>351.47252026297338</v>
      </c>
      <c r="AB37" s="18">
        <v>407.22138275942967</v>
      </c>
      <c r="AC37" s="18">
        <v>479.87467948788378</v>
      </c>
      <c r="AD37" s="18">
        <v>4.6456336393966584</v>
      </c>
      <c r="AE37" s="18">
        <v>285.33535876339312</v>
      </c>
      <c r="AF37" s="18">
        <v>245.83371410636849</v>
      </c>
      <c r="AG37" s="18">
        <v>461.67699162732617</v>
      </c>
      <c r="AH37" s="17">
        <v>3998.8060316946489</v>
      </c>
    </row>
    <row r="38" spans="1:34" s="16" customFormat="1" ht="21.75" customHeight="1">
      <c r="A38" s="9" t="s">
        <v>55</v>
      </c>
      <c r="B38" s="14">
        <f t="shared" si="2"/>
        <v>44927</v>
      </c>
      <c r="C38" s="9" t="s">
        <v>57</v>
      </c>
      <c r="D38" s="66" t="s">
        <v>59</v>
      </c>
      <c r="E38" s="21" t="s">
        <v>58</v>
      </c>
      <c r="F38" s="21" t="s">
        <v>60</v>
      </c>
      <c r="G38" s="20" t="str">
        <f t="array" ref="G38">IF(OR(C38="",F38=""),"",IFERROR(_xlfn.XLOOKUP(1, (INDEX(Emission_Factor_Unit,,1)=C38)*(INDEX(Emission_Factor_Unit,,2)=F38), INDEX(Emission_Factor_Unit,,4)),""))</f>
        <v>kWh</v>
      </c>
      <c r="H38" s="18">
        <v>11455.16417618422</v>
      </c>
      <c r="I38" s="18">
        <v>10439.178294928261</v>
      </c>
      <c r="J38" s="18">
        <v>11452.45177804876</v>
      </c>
      <c r="K38" s="18">
        <v>11169.658725452709</v>
      </c>
      <c r="L38" s="18">
        <v>11413.952648804639</v>
      </c>
      <c r="M38" s="18">
        <v>8353.6085827298702</v>
      </c>
      <c r="N38" s="18">
        <v>11538.67849047669</v>
      </c>
      <c r="O38" s="18">
        <v>10649.50026112217</v>
      </c>
      <c r="P38" s="18">
        <v>4590.4332079494179</v>
      </c>
      <c r="Q38" s="18">
        <v>17278.268989713441</v>
      </c>
      <c r="R38" s="18">
        <v>4733.4685100589277</v>
      </c>
      <c r="S38" s="18">
        <v>9878.9004613560082</v>
      </c>
      <c r="T38" s="18">
        <f t="shared" si="3"/>
        <v>122953.26412682513</v>
      </c>
      <c r="U38" s="19">
        <v>0.77400000000000002</v>
      </c>
      <c r="V38" s="18">
        <v>8866.2970723665894</v>
      </c>
      <c r="W38" s="18">
        <v>8079.92400027447</v>
      </c>
      <c r="X38" s="18">
        <v>8864.1976762097402</v>
      </c>
      <c r="Y38" s="18">
        <v>8645.3158535004004</v>
      </c>
      <c r="Z38" s="18">
        <v>8834.39935017479</v>
      </c>
      <c r="AA38" s="18">
        <v>6465.6930430329194</v>
      </c>
      <c r="AB38" s="18">
        <v>8930.9371516289593</v>
      </c>
      <c r="AC38" s="18">
        <v>8242.7132021085599</v>
      </c>
      <c r="AD38" s="18">
        <v>3552.9953029528501</v>
      </c>
      <c r="AE38" s="18">
        <v>13373.3801980382</v>
      </c>
      <c r="AF38" s="18">
        <v>3663.7046267856099</v>
      </c>
      <c r="AG38" s="18">
        <v>7646.2689570895509</v>
      </c>
      <c r="AH38" s="17">
        <v>95165.826434162649</v>
      </c>
    </row>
    <row r="39" spans="1:34" s="16" customFormat="1" ht="21.75" customHeight="1">
      <c r="A39" s="9" t="s">
        <v>55</v>
      </c>
      <c r="B39" s="14">
        <f t="shared" ref="B39:B70" si="4">IF(A39="","",DATE($F$1,1,1))</f>
        <v>44927</v>
      </c>
      <c r="C39" s="9" t="s">
        <v>57</v>
      </c>
      <c r="D39" s="66" t="s">
        <v>63</v>
      </c>
      <c r="E39" s="21" t="s">
        <v>62</v>
      </c>
      <c r="F39" s="21" t="s">
        <v>64</v>
      </c>
      <c r="G39" s="20" t="str">
        <f t="array" ref="G39">IF(OR(C39="",F39=""),"",IFERROR(_xlfn.XLOOKUP(1, (INDEX(Emission_Factor_Unit,,1)=C39)*(INDEX(Emission_Factor_Unit,,2)=F39), INDEX(Emission_Factor_Unit,,4)),""))</f>
        <v>MMBTU</v>
      </c>
      <c r="H39" s="18">
        <v>569971</v>
      </c>
      <c r="I39" s="18">
        <v>528370</v>
      </c>
      <c r="J39" s="18">
        <v>522531</v>
      </c>
      <c r="K39" s="18">
        <v>566946</v>
      </c>
      <c r="L39" s="18">
        <v>612236</v>
      </c>
      <c r="M39" s="18">
        <v>581859</v>
      </c>
      <c r="N39" s="18">
        <v>567264.99999999988</v>
      </c>
      <c r="O39" s="18">
        <v>555777</v>
      </c>
      <c r="P39" s="18">
        <v>374103</v>
      </c>
      <c r="Q39" s="18">
        <v>654913.99999999988</v>
      </c>
      <c r="R39" s="18">
        <v>560934</v>
      </c>
      <c r="S39" s="18">
        <v>510787</v>
      </c>
      <c r="T39" s="18">
        <f t="shared" ref="T39:T70" si="5">IF(COUNT(H39:S39)=0, "", SUM(H39:S39))</f>
        <v>6605693</v>
      </c>
      <c r="U39" s="19">
        <v>8.4570000000000006E-2</v>
      </c>
      <c r="V39" s="18">
        <v>48202.447470000006</v>
      </c>
      <c r="W39" s="18">
        <v>44684.250900000006</v>
      </c>
      <c r="X39" s="18">
        <v>44190.446669999998</v>
      </c>
      <c r="Y39" s="18">
        <v>47946.623220000001</v>
      </c>
      <c r="Z39" s="18">
        <v>51776.798519999997</v>
      </c>
      <c r="AA39" s="18">
        <v>49207.815629999997</v>
      </c>
      <c r="AB39" s="18">
        <v>47973.60104999999</v>
      </c>
      <c r="AC39" s="18">
        <v>47002.060890000001</v>
      </c>
      <c r="AD39" s="18">
        <v>31637.89071</v>
      </c>
      <c r="AE39" s="18">
        <v>55386.076979999991</v>
      </c>
      <c r="AF39" s="18">
        <v>47438.188380000007</v>
      </c>
      <c r="AG39" s="18">
        <v>43197.256589999997</v>
      </c>
      <c r="AH39" s="17">
        <v>558643.45701000001</v>
      </c>
    </row>
    <row r="40" spans="1:34" s="16" customFormat="1" ht="21.75" customHeight="1">
      <c r="A40" s="9" t="s">
        <v>55</v>
      </c>
      <c r="B40" s="14">
        <f t="shared" si="4"/>
        <v>44927</v>
      </c>
      <c r="C40" s="9" t="s">
        <v>23</v>
      </c>
      <c r="D40" s="66" t="s">
        <v>25</v>
      </c>
      <c r="E40" s="21" t="s">
        <v>66</v>
      </c>
      <c r="F40" s="21" t="s">
        <v>26</v>
      </c>
      <c r="G40" s="20" t="str">
        <f t="array" ref="G40">IF(OR(C40="",F40=""),"",IFERROR(_xlfn.XLOOKUP(1, (INDEX(Emission_Factor_Unit,,1)=C40)*(INDEX(Emission_Factor_Unit,,2)=F40), INDEX(Emission_Factor_Unit,,4)),""))</f>
        <v>GJ</v>
      </c>
      <c r="H40" s="18">
        <v>11078.851159421791</v>
      </c>
      <c r="I40" s="18">
        <v>9807.7310479286007</v>
      </c>
      <c r="J40" s="18">
        <v>10834.055463240569</v>
      </c>
      <c r="K40" s="18">
        <v>11447.464632325749</v>
      </c>
      <c r="L40" s="18">
        <v>9916.2135954242349</v>
      </c>
      <c r="M40" s="18">
        <v>7404.0758594392619</v>
      </c>
      <c r="N40" s="18">
        <v>5251.4640531125679</v>
      </c>
      <c r="O40" s="18">
        <v>3041.4871300473469</v>
      </c>
      <c r="P40" s="18">
        <v>0</v>
      </c>
      <c r="Q40" s="18">
        <v>4858.9957791886191</v>
      </c>
      <c r="R40" s="18">
        <v>666.7984856537048</v>
      </c>
      <c r="S40" s="18">
        <v>7233.6844235822764</v>
      </c>
      <c r="T40" s="18">
        <f t="shared" si="5"/>
        <v>81540.821629364713</v>
      </c>
      <c r="U40" s="19">
        <v>5.0351584999999997E-2</v>
      </c>
      <c r="V40" s="18">
        <v>557.83771585597503</v>
      </c>
      <c r="W40" s="18">
        <v>493.834803516916</v>
      </c>
      <c r="X40" s="18">
        <v>545.51186455207198</v>
      </c>
      <c r="Y40" s="18">
        <v>576.39798846904398</v>
      </c>
      <c r="Z40" s="18">
        <v>499.29707172815893</v>
      </c>
      <c r="AA40" s="18">
        <v>372.806954983004</v>
      </c>
      <c r="AB40" s="18">
        <v>264.41953864474198</v>
      </c>
      <c r="AC40" s="18">
        <v>153.143697754985</v>
      </c>
      <c r="AD40" s="18">
        <v>0</v>
      </c>
      <c r="AE40" s="18">
        <v>244.65813899045699</v>
      </c>
      <c r="AF40" s="18">
        <v>33.574360628263797</v>
      </c>
      <c r="AG40" s="18">
        <v>364.22747611717898</v>
      </c>
      <c r="AH40" s="17">
        <v>4105.7096112407971</v>
      </c>
    </row>
    <row r="41" spans="1:34" s="16" customFormat="1" ht="21.75" customHeight="1">
      <c r="A41" s="9" t="s">
        <v>55</v>
      </c>
      <c r="B41" s="14">
        <f t="shared" si="4"/>
        <v>44927</v>
      </c>
      <c r="C41" s="9" t="s">
        <v>23</v>
      </c>
      <c r="D41" s="66" t="s">
        <v>25</v>
      </c>
      <c r="E41" s="21" t="s">
        <v>67</v>
      </c>
      <c r="F41" s="21" t="s">
        <v>26</v>
      </c>
      <c r="G41" s="20" t="str">
        <f t="array" ref="G41">IF(OR(C41="",F41=""),"",IFERROR(_xlfn.XLOOKUP(1, (INDEX(Emission_Factor_Unit,,1)=C41)*(INDEX(Emission_Factor_Unit,,2)=F41), INDEX(Emission_Factor_Unit,,4)),""))</f>
        <v>GJ</v>
      </c>
      <c r="H41" s="18">
        <v>4314.3101703402344</v>
      </c>
      <c r="I41" s="18">
        <v>8451.178426021721</v>
      </c>
      <c r="J41" s="18">
        <v>9182.711309115768</v>
      </c>
      <c r="K41" s="18">
        <v>9027.7724231351858</v>
      </c>
      <c r="L41" s="18">
        <v>8189.2579282926481</v>
      </c>
      <c r="M41" s="18">
        <v>8092.2366735000624</v>
      </c>
      <c r="N41" s="18">
        <v>10588.22834622532</v>
      </c>
      <c r="O41" s="18">
        <v>10078.036728817829</v>
      </c>
      <c r="P41" s="18">
        <v>122.844402456032</v>
      </c>
      <c r="Q41" s="18">
        <v>3172.1892393976591</v>
      </c>
      <c r="R41" s="18">
        <v>2399.3393200421469</v>
      </c>
      <c r="S41" s="18">
        <v>9839.7259660953296</v>
      </c>
      <c r="T41" s="18">
        <f t="shared" si="5"/>
        <v>83457.830933439924</v>
      </c>
      <c r="U41" s="19">
        <v>5.0351584999999997E-2</v>
      </c>
      <c r="V41" s="18">
        <v>217.23235525825069</v>
      </c>
      <c r="W41" s="18">
        <v>425.53022886799891</v>
      </c>
      <c r="X41" s="18">
        <v>462.36406901140379</v>
      </c>
      <c r="Y41" s="18">
        <v>454.56265052414727</v>
      </c>
      <c r="Z41" s="18">
        <v>412.34211666335108</v>
      </c>
      <c r="AA41" s="18">
        <v>407.45694270585562</v>
      </c>
      <c r="AB41" s="18">
        <v>533.13407957437357</v>
      </c>
      <c r="AC41" s="18">
        <v>507.44512298419312</v>
      </c>
      <c r="AD41" s="18">
        <v>6.1854103720391027</v>
      </c>
      <c r="AE41" s="18">
        <v>159.7247561236166</v>
      </c>
      <c r="AF41" s="18">
        <v>120.8105377169444</v>
      </c>
      <c r="AG41" s="18">
        <v>495.44579835855609</v>
      </c>
      <c r="AH41" s="17">
        <v>4202.2340681607293</v>
      </c>
    </row>
    <row r="42" spans="1:34" s="16" customFormat="1" ht="21.75" customHeight="1">
      <c r="A42" s="9" t="s">
        <v>55</v>
      </c>
      <c r="B42" s="14">
        <f t="shared" si="4"/>
        <v>44927</v>
      </c>
      <c r="C42" s="9" t="s">
        <v>23</v>
      </c>
      <c r="D42" s="66" t="s">
        <v>25</v>
      </c>
      <c r="E42" s="21" t="s">
        <v>68</v>
      </c>
      <c r="F42" s="21" t="s">
        <v>26</v>
      </c>
      <c r="G42" s="20" t="str">
        <f t="array" ref="G42">IF(OR(C42="",F42=""),"",IFERROR(_xlfn.XLOOKUP(1, (INDEX(Emission_Factor_Unit,,1)=C42)*(INDEX(Emission_Factor_Unit,,2)=F42), INDEX(Emission_Factor_Unit,,4)),""))</f>
        <v>GJ</v>
      </c>
      <c r="H42" s="18">
        <v>448.61215773915018</v>
      </c>
      <c r="I42" s="18">
        <v>507.91026172802458</v>
      </c>
      <c r="J42" s="18">
        <v>395.39053790461378</v>
      </c>
      <c r="K42" s="18">
        <v>404.4004971679413</v>
      </c>
      <c r="L42" s="18">
        <v>367.52252436920668</v>
      </c>
      <c r="M42" s="18">
        <v>510.84373683701631</v>
      </c>
      <c r="N42" s="18">
        <v>130.12057447735299</v>
      </c>
      <c r="O42" s="18">
        <v>964.4847090487217</v>
      </c>
      <c r="P42" s="18">
        <v>66.63179176134993</v>
      </c>
      <c r="Q42" s="18">
        <v>321.84412624350068</v>
      </c>
      <c r="R42" s="18">
        <v>13.41017192681254</v>
      </c>
      <c r="S42" s="18">
        <v>2400.0017070267309</v>
      </c>
      <c r="T42" s="18">
        <f t="shared" si="5"/>
        <v>6531.1727962304212</v>
      </c>
      <c r="U42" s="19">
        <v>5.0351584999999997E-2</v>
      </c>
      <c r="V42" s="18">
        <v>22.588333192436231</v>
      </c>
      <c r="W42" s="18">
        <v>25.574086715770871</v>
      </c>
      <c r="X42" s="18">
        <v>19.908540277499881</v>
      </c>
      <c r="Y42" s="18">
        <v>20.362206007193851</v>
      </c>
      <c r="Z42" s="18">
        <v>18.505341625190681</v>
      </c>
      <c r="AA42" s="18">
        <v>25.721791837066661</v>
      </c>
      <c r="AB42" s="18">
        <v>6.5517771660452677</v>
      </c>
      <c r="AC42" s="18">
        <v>48.563333808866979</v>
      </c>
      <c r="AD42" s="18">
        <v>3.355016326573911</v>
      </c>
      <c r="AE42" s="18">
        <v>16.205361879300359</v>
      </c>
      <c r="AF42" s="18">
        <v>0.67522341163751542</v>
      </c>
      <c r="AG42" s="18">
        <v>120.84388995150159</v>
      </c>
      <c r="AH42" s="17">
        <v>328.85490219908382</v>
      </c>
    </row>
    <row r="43" spans="1:34">
      <c r="A43" s="9" t="s">
        <v>28</v>
      </c>
      <c r="B43" s="14">
        <f t="shared" si="4"/>
        <v>44927</v>
      </c>
      <c r="C43" s="9" t="s">
        <v>23</v>
      </c>
      <c r="D43" s="66" t="s">
        <v>70</v>
      </c>
      <c r="E43" s="21" t="s">
        <v>69</v>
      </c>
      <c r="F43" s="10" t="s">
        <v>71</v>
      </c>
      <c r="G43" s="7" t="str">
        <f t="array" ref="G43">IF(OR(C43="",F43=""),"",IFERROR(_xlfn.XLOOKUP(1, (INDEX(Emission_Factor_Unit,,1)=C43)*(INDEX(Emission_Factor_Unit,,2)=F43), INDEX(Emission_Factor_Unit,,4)),""))</f>
        <v>km</v>
      </c>
      <c r="H43" s="5">
        <v>1000</v>
      </c>
      <c r="I43" s="5">
        <v>1000</v>
      </c>
      <c r="J43" s="5">
        <v>1000</v>
      </c>
      <c r="K43" s="5">
        <v>1000</v>
      </c>
      <c r="L43" s="5">
        <v>1000</v>
      </c>
      <c r="M43" s="5">
        <v>1000</v>
      </c>
      <c r="N43" s="5">
        <v>1000</v>
      </c>
      <c r="O43" s="5">
        <v>1000</v>
      </c>
      <c r="P43" s="5">
        <v>1000</v>
      </c>
      <c r="Q43" s="5">
        <v>1000</v>
      </c>
      <c r="R43" s="5">
        <v>1000</v>
      </c>
      <c r="S43" s="5">
        <v>1000</v>
      </c>
      <c r="T43" s="5">
        <f t="shared" si="5"/>
        <v>12000</v>
      </c>
      <c r="U43" s="19">
        <v>2.3203370499999998E-3</v>
      </c>
      <c r="V43" s="18">
        <v>2.32033705</v>
      </c>
      <c r="W43" s="18">
        <v>2.32033705</v>
      </c>
      <c r="X43" s="18">
        <v>2.32033705</v>
      </c>
      <c r="Y43" s="18">
        <v>2.32033705</v>
      </c>
      <c r="Z43" s="18">
        <v>2.32033705</v>
      </c>
      <c r="AA43" s="18">
        <v>2.32033705</v>
      </c>
      <c r="AB43" s="18">
        <v>2.32033705</v>
      </c>
      <c r="AC43" s="18">
        <v>2.32033705</v>
      </c>
      <c r="AD43" s="18">
        <v>2.32033705</v>
      </c>
      <c r="AE43" s="18">
        <v>2.32033705</v>
      </c>
      <c r="AF43" s="18">
        <v>2.32033705</v>
      </c>
      <c r="AG43" s="18">
        <v>2.32033705</v>
      </c>
      <c r="AH43" s="17">
        <v>27.8440446</v>
      </c>
    </row>
    <row r="44" spans="1:34">
      <c r="A44" s="9" t="s">
        <v>28</v>
      </c>
      <c r="B44" s="14">
        <f t="shared" si="4"/>
        <v>44927</v>
      </c>
      <c r="C44" s="9" t="s">
        <v>23</v>
      </c>
      <c r="D44" s="66" t="s">
        <v>70</v>
      </c>
      <c r="E44" s="21" t="s">
        <v>73</v>
      </c>
      <c r="F44" s="10" t="s">
        <v>74</v>
      </c>
      <c r="G44" s="7" t="str">
        <f t="array" ref="G44">IF(OR(C44="",F44=""),"",IFERROR(_xlfn.XLOOKUP(1, (INDEX(Emission_Factor_Unit,,1)=C44)*(INDEX(Emission_Factor_Unit,,2)=F44), INDEX(Emission_Factor_Unit,,4)),""))</f>
        <v>km</v>
      </c>
      <c r="H44" s="5">
        <v>1000</v>
      </c>
      <c r="I44" s="5">
        <v>1000</v>
      </c>
      <c r="J44" s="5">
        <v>1000</v>
      </c>
      <c r="K44" s="5">
        <v>1000</v>
      </c>
      <c r="L44" s="5">
        <v>1000</v>
      </c>
      <c r="M44" s="5">
        <v>1000</v>
      </c>
      <c r="N44" s="5">
        <v>1000</v>
      </c>
      <c r="O44" s="5">
        <v>1000</v>
      </c>
      <c r="P44" s="5">
        <v>1000</v>
      </c>
      <c r="Q44" s="5">
        <v>1000</v>
      </c>
      <c r="R44" s="5">
        <v>1000</v>
      </c>
      <c r="S44" s="5">
        <v>1000</v>
      </c>
      <c r="T44" s="5">
        <f t="shared" si="5"/>
        <v>12000</v>
      </c>
      <c r="U44" s="19">
        <v>2.3203212099999998E-3</v>
      </c>
      <c r="V44" s="18">
        <v>2.3203212099999999</v>
      </c>
      <c r="W44" s="18">
        <v>2.3203212099999999</v>
      </c>
      <c r="X44" s="18">
        <v>2.3203212099999999</v>
      </c>
      <c r="Y44" s="18">
        <v>2.3203212099999999</v>
      </c>
      <c r="Z44" s="18">
        <v>2.3203212099999999</v>
      </c>
      <c r="AA44" s="18">
        <v>2.3203212099999999</v>
      </c>
      <c r="AB44" s="18">
        <v>2.3203212099999999</v>
      </c>
      <c r="AC44" s="18">
        <v>2.3203212099999999</v>
      </c>
      <c r="AD44" s="18">
        <v>2.3203212099999999</v>
      </c>
      <c r="AE44" s="18">
        <v>2.3203212099999999</v>
      </c>
      <c r="AF44" s="18">
        <v>2.3203212099999999</v>
      </c>
      <c r="AG44" s="18">
        <v>2.3203212099999999</v>
      </c>
      <c r="AH44" s="17">
        <v>27.843854520000001</v>
      </c>
    </row>
    <row r="45" spans="1:34">
      <c r="A45" s="9" t="s">
        <v>35</v>
      </c>
      <c r="B45" s="14">
        <f t="shared" si="4"/>
        <v>44927</v>
      </c>
      <c r="C45" s="9" t="s">
        <v>23</v>
      </c>
      <c r="D45" s="66" t="s">
        <v>70</v>
      </c>
      <c r="E45" s="21" t="s">
        <v>69</v>
      </c>
      <c r="F45" s="10" t="s">
        <v>71</v>
      </c>
      <c r="G45" s="7" t="str">
        <f t="array" ref="G45">IF(OR(C45="",F45=""),"",IFERROR(_xlfn.XLOOKUP(1, (INDEX(Emission_Factor_Unit,,1)=C45)*(INDEX(Emission_Factor_Unit,,2)=F45), INDEX(Emission_Factor_Unit,,4)),""))</f>
        <v>km</v>
      </c>
      <c r="H45" s="5">
        <v>1000</v>
      </c>
      <c r="I45" s="5">
        <v>1000</v>
      </c>
      <c r="J45" s="5">
        <v>1000</v>
      </c>
      <c r="K45" s="5">
        <v>1000</v>
      </c>
      <c r="L45" s="5">
        <v>1000</v>
      </c>
      <c r="M45" s="5">
        <v>1000</v>
      </c>
      <c r="N45" s="5">
        <v>1000</v>
      </c>
      <c r="O45" s="5">
        <v>1000</v>
      </c>
      <c r="P45" s="5">
        <v>1000</v>
      </c>
      <c r="Q45" s="5">
        <v>1000</v>
      </c>
      <c r="R45" s="5">
        <v>1000</v>
      </c>
      <c r="S45" s="5">
        <v>1000</v>
      </c>
      <c r="T45" s="5">
        <f t="shared" si="5"/>
        <v>12000</v>
      </c>
      <c r="U45" s="19">
        <v>2.3203370499999998E-3</v>
      </c>
      <c r="V45" s="18">
        <v>2.32033705</v>
      </c>
      <c r="W45" s="18">
        <v>2.32033705</v>
      </c>
      <c r="X45" s="18">
        <v>2.32033705</v>
      </c>
      <c r="Y45" s="18">
        <v>2.32033705</v>
      </c>
      <c r="Z45" s="18">
        <v>2.32033705</v>
      </c>
      <c r="AA45" s="18">
        <v>2.32033705</v>
      </c>
      <c r="AB45" s="18">
        <v>2.32033705</v>
      </c>
      <c r="AC45" s="18">
        <v>2.32033705</v>
      </c>
      <c r="AD45" s="18">
        <v>2.32033705</v>
      </c>
      <c r="AE45" s="18">
        <v>2.32033705</v>
      </c>
      <c r="AF45" s="18">
        <v>2.32033705</v>
      </c>
      <c r="AG45" s="18">
        <v>2.32033705</v>
      </c>
      <c r="AH45" s="17">
        <v>27.8440446</v>
      </c>
    </row>
    <row r="46" spans="1:34">
      <c r="A46" s="9" t="s">
        <v>35</v>
      </c>
      <c r="B46" s="14">
        <f t="shared" si="4"/>
        <v>44927</v>
      </c>
      <c r="C46" s="9" t="s">
        <v>23</v>
      </c>
      <c r="D46" s="66" t="s">
        <v>70</v>
      </c>
      <c r="E46" s="21" t="s">
        <v>73</v>
      </c>
      <c r="F46" s="10" t="s">
        <v>74</v>
      </c>
      <c r="G46" s="7" t="str">
        <f t="array" ref="G46">IF(OR(C46="",F46=""),"",IFERROR(_xlfn.XLOOKUP(1, (INDEX(Emission_Factor_Unit,,1)=C46)*(INDEX(Emission_Factor_Unit,,2)=F46), INDEX(Emission_Factor_Unit,,4)),""))</f>
        <v>km</v>
      </c>
      <c r="H46" s="5">
        <v>1000</v>
      </c>
      <c r="I46" s="5">
        <v>1000</v>
      </c>
      <c r="J46" s="5">
        <v>1000</v>
      </c>
      <c r="K46" s="5">
        <v>1000</v>
      </c>
      <c r="L46" s="5">
        <v>1000</v>
      </c>
      <c r="M46" s="5">
        <v>1000</v>
      </c>
      <c r="N46" s="5">
        <v>1000</v>
      </c>
      <c r="O46" s="5">
        <v>1000</v>
      </c>
      <c r="P46" s="5">
        <v>1000</v>
      </c>
      <c r="Q46" s="5">
        <v>1000</v>
      </c>
      <c r="R46" s="5">
        <v>1000</v>
      </c>
      <c r="S46" s="5">
        <v>1000</v>
      </c>
      <c r="T46" s="5">
        <f t="shared" si="5"/>
        <v>12000</v>
      </c>
      <c r="U46" s="19">
        <v>2.3203212099999998E-3</v>
      </c>
      <c r="V46" s="18">
        <v>2.3203212099999999</v>
      </c>
      <c r="W46" s="18">
        <v>2.3203212099999999</v>
      </c>
      <c r="X46" s="18">
        <v>2.3203212099999999</v>
      </c>
      <c r="Y46" s="18">
        <v>2.3203212099999999</v>
      </c>
      <c r="Z46" s="18">
        <v>2.3203212099999999</v>
      </c>
      <c r="AA46" s="18">
        <v>2.3203212099999999</v>
      </c>
      <c r="AB46" s="18">
        <v>2.3203212099999999</v>
      </c>
      <c r="AC46" s="18">
        <v>2.3203212099999999</v>
      </c>
      <c r="AD46" s="18">
        <v>2.3203212099999999</v>
      </c>
      <c r="AE46" s="18">
        <v>2.3203212099999999</v>
      </c>
      <c r="AF46" s="18">
        <v>2.3203212099999999</v>
      </c>
      <c r="AG46" s="18">
        <v>2.3203212099999999</v>
      </c>
      <c r="AH46" s="17">
        <v>27.843854520000001</v>
      </c>
    </row>
    <row r="47" spans="1:34">
      <c r="A47" s="9" t="s">
        <v>37</v>
      </c>
      <c r="B47" s="14">
        <f t="shared" si="4"/>
        <v>44927</v>
      </c>
      <c r="C47" s="9" t="s">
        <v>23</v>
      </c>
      <c r="D47" s="66" t="s">
        <v>70</v>
      </c>
      <c r="E47" s="21" t="s">
        <v>69</v>
      </c>
      <c r="F47" s="10" t="s">
        <v>71</v>
      </c>
      <c r="G47" s="7" t="str">
        <f t="array" ref="G47">IF(OR(C47="",F47=""),"",IFERROR(_xlfn.XLOOKUP(1, (INDEX(Emission_Factor_Unit,,1)=C47)*(INDEX(Emission_Factor_Unit,,2)=F47), INDEX(Emission_Factor_Unit,,4)),""))</f>
        <v>km</v>
      </c>
      <c r="H47" s="5">
        <v>1000</v>
      </c>
      <c r="I47" s="5">
        <v>1000</v>
      </c>
      <c r="J47" s="5">
        <v>1000</v>
      </c>
      <c r="K47" s="5">
        <v>1000</v>
      </c>
      <c r="L47" s="5">
        <v>1000</v>
      </c>
      <c r="M47" s="5">
        <v>1000</v>
      </c>
      <c r="N47" s="5">
        <v>1000</v>
      </c>
      <c r="O47" s="5">
        <v>1000</v>
      </c>
      <c r="P47" s="5">
        <v>1000</v>
      </c>
      <c r="Q47" s="5">
        <v>1000</v>
      </c>
      <c r="R47" s="5">
        <v>1000</v>
      </c>
      <c r="S47" s="5">
        <v>1000</v>
      </c>
      <c r="T47" s="5">
        <f t="shared" si="5"/>
        <v>12000</v>
      </c>
      <c r="U47" s="6">
        <v>2.3203370499999998E-3</v>
      </c>
      <c r="V47" s="5">
        <v>2.32033705</v>
      </c>
      <c r="W47" s="5">
        <v>2.32033705</v>
      </c>
      <c r="X47" s="5">
        <v>2.32033705</v>
      </c>
      <c r="Y47" s="5">
        <v>2.32033705</v>
      </c>
      <c r="Z47" s="5">
        <v>2.32033705</v>
      </c>
      <c r="AA47" s="5">
        <v>2.32033705</v>
      </c>
      <c r="AB47" s="5">
        <v>2.32033705</v>
      </c>
      <c r="AC47" s="5">
        <v>2.32033705</v>
      </c>
      <c r="AD47" s="5">
        <v>2.32033705</v>
      </c>
      <c r="AE47" s="5">
        <v>2.32033705</v>
      </c>
      <c r="AF47" s="5">
        <v>2.32033705</v>
      </c>
      <c r="AG47" s="5">
        <v>2.32033705</v>
      </c>
      <c r="AH47" s="4">
        <v>27.8440446</v>
      </c>
    </row>
    <row r="48" spans="1:34">
      <c r="A48" s="9" t="s">
        <v>37</v>
      </c>
      <c r="B48" s="14">
        <f t="shared" si="4"/>
        <v>44927</v>
      </c>
      <c r="C48" s="9" t="s">
        <v>23</v>
      </c>
      <c r="D48" s="66" t="s">
        <v>70</v>
      </c>
      <c r="E48" s="21" t="s">
        <v>73</v>
      </c>
      <c r="F48" s="10" t="s">
        <v>74</v>
      </c>
      <c r="G48" s="7" t="str">
        <f t="array" ref="G48">IF(OR(C48="",F48=""),"",IFERROR(_xlfn.XLOOKUP(1, (INDEX(Emission_Factor_Unit,,1)=C48)*(INDEX(Emission_Factor_Unit,,2)=F48), INDEX(Emission_Factor_Unit,,4)),""))</f>
        <v>km</v>
      </c>
      <c r="H48" s="5">
        <v>1000</v>
      </c>
      <c r="I48" s="5">
        <v>1000</v>
      </c>
      <c r="J48" s="5">
        <v>1000</v>
      </c>
      <c r="K48" s="5">
        <v>1000</v>
      </c>
      <c r="L48" s="5">
        <v>1000</v>
      </c>
      <c r="M48" s="5">
        <v>1000</v>
      </c>
      <c r="N48" s="5">
        <v>1000</v>
      </c>
      <c r="O48" s="5">
        <v>1000</v>
      </c>
      <c r="P48" s="5">
        <v>1000</v>
      </c>
      <c r="Q48" s="5">
        <v>1000</v>
      </c>
      <c r="R48" s="5">
        <v>1000</v>
      </c>
      <c r="S48" s="5">
        <v>1000</v>
      </c>
      <c r="T48" s="5">
        <f t="shared" si="5"/>
        <v>12000</v>
      </c>
      <c r="U48" s="6">
        <v>2.3203212099999998E-3</v>
      </c>
      <c r="V48" s="5">
        <v>2.3203212099999999</v>
      </c>
      <c r="W48" s="5">
        <v>2.3203212099999999</v>
      </c>
      <c r="X48" s="5">
        <v>2.3203212099999999</v>
      </c>
      <c r="Y48" s="5">
        <v>2.3203212099999999</v>
      </c>
      <c r="Z48" s="5">
        <v>2.3203212099999999</v>
      </c>
      <c r="AA48" s="5">
        <v>2.3203212099999999</v>
      </c>
      <c r="AB48" s="5">
        <v>2.3203212099999999</v>
      </c>
      <c r="AC48" s="5">
        <v>2.3203212099999999</v>
      </c>
      <c r="AD48" s="5">
        <v>2.3203212099999999</v>
      </c>
      <c r="AE48" s="5">
        <v>2.3203212099999999</v>
      </c>
      <c r="AF48" s="5">
        <v>2.3203212099999999</v>
      </c>
      <c r="AG48" s="5">
        <v>2.3203212099999999</v>
      </c>
      <c r="AH48" s="4">
        <v>27.843854520000001</v>
      </c>
    </row>
    <row r="49" spans="1:34">
      <c r="A49" s="9" t="s">
        <v>42</v>
      </c>
      <c r="B49" s="14">
        <f t="shared" si="4"/>
        <v>44927</v>
      </c>
      <c r="C49" s="9" t="s">
        <v>23</v>
      </c>
      <c r="D49" s="66" t="s">
        <v>70</v>
      </c>
      <c r="E49" s="21" t="s">
        <v>69</v>
      </c>
      <c r="F49" s="10" t="s">
        <v>71</v>
      </c>
      <c r="G49" s="7" t="str">
        <f t="array" ref="G49">IF(OR(C49="",F49=""),"",IFERROR(_xlfn.XLOOKUP(1, (INDEX(Emission_Factor_Unit,,1)=C49)*(INDEX(Emission_Factor_Unit,,2)=F49), INDEX(Emission_Factor_Unit,,4)),""))</f>
        <v>km</v>
      </c>
      <c r="H49" s="5">
        <v>1000</v>
      </c>
      <c r="I49" s="5">
        <v>1000</v>
      </c>
      <c r="J49" s="5">
        <v>1000</v>
      </c>
      <c r="K49" s="5">
        <v>1000</v>
      </c>
      <c r="L49" s="5">
        <v>1000</v>
      </c>
      <c r="M49" s="5">
        <v>1000</v>
      </c>
      <c r="N49" s="5">
        <v>1000</v>
      </c>
      <c r="O49" s="5">
        <v>1000</v>
      </c>
      <c r="P49" s="5">
        <v>1000</v>
      </c>
      <c r="Q49" s="5">
        <v>1000</v>
      </c>
      <c r="R49" s="5">
        <v>1000</v>
      </c>
      <c r="S49" s="5">
        <v>1000</v>
      </c>
      <c r="T49" s="5">
        <f t="shared" si="5"/>
        <v>12000</v>
      </c>
      <c r="U49" s="6">
        <v>2.3203370499999998E-3</v>
      </c>
      <c r="V49" s="5">
        <v>2.32033705</v>
      </c>
      <c r="W49" s="5">
        <v>2.32033705</v>
      </c>
      <c r="X49" s="5">
        <v>2.32033705</v>
      </c>
      <c r="Y49" s="5">
        <v>2.32033705</v>
      </c>
      <c r="Z49" s="5">
        <v>2.32033705</v>
      </c>
      <c r="AA49" s="5">
        <v>2.32033705</v>
      </c>
      <c r="AB49" s="5">
        <v>2.32033705</v>
      </c>
      <c r="AC49" s="5">
        <v>2.32033705</v>
      </c>
      <c r="AD49" s="5">
        <v>2.32033705</v>
      </c>
      <c r="AE49" s="5">
        <v>2.32033705</v>
      </c>
      <c r="AF49" s="5">
        <v>2.32033705</v>
      </c>
      <c r="AG49" s="5">
        <v>2.32033705</v>
      </c>
      <c r="AH49" s="4">
        <v>27.8440446</v>
      </c>
    </row>
    <row r="50" spans="1:34">
      <c r="A50" s="9" t="s">
        <v>42</v>
      </c>
      <c r="B50" s="14">
        <f t="shared" si="4"/>
        <v>44927</v>
      </c>
      <c r="C50" s="9" t="s">
        <v>23</v>
      </c>
      <c r="D50" s="66" t="s">
        <v>70</v>
      </c>
      <c r="E50" s="21" t="s">
        <v>73</v>
      </c>
      <c r="F50" s="10" t="s">
        <v>74</v>
      </c>
      <c r="G50" s="7" t="str">
        <f t="array" ref="G50">IF(OR(C50="",F50=""),"",IFERROR(_xlfn.XLOOKUP(1, (INDEX(Emission_Factor_Unit,,1)=C50)*(INDEX(Emission_Factor_Unit,,2)=F50), INDEX(Emission_Factor_Unit,,4)),""))</f>
        <v>km</v>
      </c>
      <c r="H50" s="5">
        <v>1000</v>
      </c>
      <c r="I50" s="5">
        <v>1000</v>
      </c>
      <c r="J50" s="5">
        <v>1000</v>
      </c>
      <c r="K50" s="5">
        <v>1000</v>
      </c>
      <c r="L50" s="5">
        <v>1000</v>
      </c>
      <c r="M50" s="5">
        <v>1000</v>
      </c>
      <c r="N50" s="5">
        <v>1000</v>
      </c>
      <c r="O50" s="5">
        <v>1000</v>
      </c>
      <c r="P50" s="5">
        <v>1000</v>
      </c>
      <c r="Q50" s="5">
        <v>1000</v>
      </c>
      <c r="R50" s="5">
        <v>1000</v>
      </c>
      <c r="S50" s="5">
        <v>1000</v>
      </c>
      <c r="T50" s="5">
        <f t="shared" si="5"/>
        <v>12000</v>
      </c>
      <c r="U50" s="6">
        <v>2.3203212099999998E-3</v>
      </c>
      <c r="V50" s="5">
        <v>2.3203212099999999</v>
      </c>
      <c r="W50" s="5">
        <v>2.3203212099999999</v>
      </c>
      <c r="X50" s="5">
        <v>2.3203212099999999</v>
      </c>
      <c r="Y50" s="5">
        <v>2.3203212099999999</v>
      </c>
      <c r="Z50" s="5">
        <v>2.3203212099999999</v>
      </c>
      <c r="AA50" s="5">
        <v>2.3203212099999999</v>
      </c>
      <c r="AB50" s="5">
        <v>2.3203212099999999</v>
      </c>
      <c r="AC50" s="5">
        <v>2.3203212099999999</v>
      </c>
      <c r="AD50" s="5">
        <v>2.3203212099999999</v>
      </c>
      <c r="AE50" s="5">
        <v>2.3203212099999999</v>
      </c>
      <c r="AF50" s="5">
        <v>2.3203212099999999</v>
      </c>
      <c r="AG50" s="5">
        <v>2.3203212099999999</v>
      </c>
      <c r="AH50" s="4">
        <v>27.843854520000001</v>
      </c>
    </row>
    <row r="51" spans="1:34">
      <c r="A51" s="9" t="s">
        <v>55</v>
      </c>
      <c r="B51" s="14">
        <f t="shared" si="4"/>
        <v>44927</v>
      </c>
      <c r="C51" s="9" t="s">
        <v>23</v>
      </c>
      <c r="D51" s="66" t="s">
        <v>70</v>
      </c>
      <c r="E51" s="21" t="s">
        <v>69</v>
      </c>
      <c r="F51" s="10" t="s">
        <v>71</v>
      </c>
      <c r="G51" s="7" t="str">
        <f t="array" ref="G51">IF(OR(C51="",F51=""),"",IFERROR(_xlfn.XLOOKUP(1, (INDEX(Emission_Factor_Unit,,1)=C51)*(INDEX(Emission_Factor_Unit,,2)=F51), INDEX(Emission_Factor_Unit,,4)),""))</f>
        <v>km</v>
      </c>
      <c r="H51" s="5">
        <v>1000</v>
      </c>
      <c r="I51" s="5">
        <v>1000</v>
      </c>
      <c r="J51" s="5">
        <v>1000</v>
      </c>
      <c r="K51" s="5">
        <v>1000</v>
      </c>
      <c r="L51" s="5">
        <v>1000</v>
      </c>
      <c r="M51" s="5">
        <v>1000</v>
      </c>
      <c r="N51" s="5">
        <v>1000</v>
      </c>
      <c r="O51" s="5">
        <v>1000</v>
      </c>
      <c r="P51" s="5">
        <v>1000</v>
      </c>
      <c r="Q51" s="5">
        <v>1000</v>
      </c>
      <c r="R51" s="5">
        <v>1000</v>
      </c>
      <c r="S51" s="5">
        <v>1000</v>
      </c>
      <c r="T51" s="5">
        <f t="shared" si="5"/>
        <v>12000</v>
      </c>
      <c r="U51" s="6">
        <v>2.3203370499999998E-3</v>
      </c>
      <c r="V51" s="5">
        <v>2.32033705</v>
      </c>
      <c r="W51" s="5">
        <v>2.32033705</v>
      </c>
      <c r="X51" s="5">
        <v>2.32033705</v>
      </c>
      <c r="Y51" s="5">
        <v>2.32033705</v>
      </c>
      <c r="Z51" s="5">
        <v>2.32033705</v>
      </c>
      <c r="AA51" s="5">
        <v>2.32033705</v>
      </c>
      <c r="AB51" s="5">
        <v>2.32033705</v>
      </c>
      <c r="AC51" s="5">
        <v>2.32033705</v>
      </c>
      <c r="AD51" s="5">
        <v>2.32033705</v>
      </c>
      <c r="AE51" s="5">
        <v>2.32033705</v>
      </c>
      <c r="AF51" s="5">
        <v>2.32033705</v>
      </c>
      <c r="AG51" s="5">
        <v>2.32033705</v>
      </c>
      <c r="AH51" s="4">
        <v>27.8440446</v>
      </c>
    </row>
    <row r="52" spans="1:34">
      <c r="A52" s="9" t="s">
        <v>55</v>
      </c>
      <c r="B52" s="14">
        <f t="shared" si="4"/>
        <v>44927</v>
      </c>
      <c r="C52" s="9" t="s">
        <v>23</v>
      </c>
      <c r="D52" s="66" t="s">
        <v>70</v>
      </c>
      <c r="E52" s="21" t="s">
        <v>73</v>
      </c>
      <c r="F52" s="10" t="s">
        <v>74</v>
      </c>
      <c r="G52" s="7" t="str">
        <f t="array" ref="G52">IF(OR(C52="",F52=""),"",IFERROR(_xlfn.XLOOKUP(1, (INDEX(Emission_Factor_Unit,,1)=C52)*(INDEX(Emission_Factor_Unit,,2)=F52), INDEX(Emission_Factor_Unit,,4)),""))</f>
        <v>km</v>
      </c>
      <c r="H52" s="5">
        <v>1000</v>
      </c>
      <c r="I52" s="5">
        <v>1000</v>
      </c>
      <c r="J52" s="5">
        <v>1000</v>
      </c>
      <c r="K52" s="5">
        <v>1000</v>
      </c>
      <c r="L52" s="5">
        <v>1000</v>
      </c>
      <c r="M52" s="5">
        <v>1000</v>
      </c>
      <c r="N52" s="5">
        <v>1000</v>
      </c>
      <c r="O52" s="5">
        <v>1000</v>
      </c>
      <c r="P52" s="5">
        <v>1000</v>
      </c>
      <c r="Q52" s="5">
        <v>1000</v>
      </c>
      <c r="R52" s="5">
        <v>1000</v>
      </c>
      <c r="S52" s="5">
        <v>1000</v>
      </c>
      <c r="T52" s="5">
        <f t="shared" si="5"/>
        <v>12000</v>
      </c>
      <c r="U52" s="6">
        <v>2.3203212099999998E-3</v>
      </c>
      <c r="V52" s="5">
        <v>2.3203212099999999</v>
      </c>
      <c r="W52" s="5">
        <v>2.3203212099999999</v>
      </c>
      <c r="X52" s="5">
        <v>2.3203212099999999</v>
      </c>
      <c r="Y52" s="5">
        <v>2.3203212099999999</v>
      </c>
      <c r="Z52" s="5">
        <v>2.3203212099999999</v>
      </c>
      <c r="AA52" s="5">
        <v>2.3203212099999999</v>
      </c>
      <c r="AB52" s="5">
        <v>2.3203212099999999</v>
      </c>
      <c r="AC52" s="5">
        <v>2.3203212099999999</v>
      </c>
      <c r="AD52" s="5">
        <v>2.3203212099999999</v>
      </c>
      <c r="AE52" s="5">
        <v>2.3203212099999999</v>
      </c>
      <c r="AF52" s="5">
        <v>2.3203212099999999</v>
      </c>
      <c r="AG52" s="5">
        <v>2.3203212099999999</v>
      </c>
      <c r="AH52" s="4">
        <v>27.843854520000001</v>
      </c>
    </row>
    <row r="53" spans="1:34" hidden="1">
      <c r="A53" s="9" t="s">
        <v>28</v>
      </c>
      <c r="B53" s="14">
        <f t="shared" si="4"/>
        <v>44927</v>
      </c>
      <c r="C53" s="9" t="s">
        <v>118</v>
      </c>
      <c r="D53" s="66" t="s">
        <v>119</v>
      </c>
      <c r="E53" s="21" t="s">
        <v>120</v>
      </c>
      <c r="F53" s="10" t="s">
        <v>121</v>
      </c>
      <c r="G53" s="7" t="str">
        <f t="array" ref="G53">IF(OR(C53="",F53=""),"",IFERROR(_xlfn.XLOOKUP(1, (INDEX(Emission_Factor_Unit,,1)=C53)*(INDEX(Emission_Factor_Unit,,2)=F53), INDEX(Emission_Factor_Unit,,4)),""))</f>
        <v>km</v>
      </c>
      <c r="H53" s="5">
        <v>500</v>
      </c>
      <c r="I53" s="5">
        <v>500</v>
      </c>
      <c r="J53" s="5">
        <v>500</v>
      </c>
      <c r="K53" s="5">
        <v>500</v>
      </c>
      <c r="L53" s="5">
        <v>500</v>
      </c>
      <c r="M53" s="5">
        <v>500</v>
      </c>
      <c r="N53" s="5">
        <v>500</v>
      </c>
      <c r="O53" s="5">
        <v>500</v>
      </c>
      <c r="P53" s="5">
        <v>500</v>
      </c>
      <c r="Q53" s="5">
        <v>500</v>
      </c>
      <c r="R53" s="5">
        <v>500</v>
      </c>
      <c r="S53" s="5">
        <v>500</v>
      </c>
      <c r="T53" s="5">
        <f t="shared" si="5"/>
        <v>6000</v>
      </c>
      <c r="U53" s="6">
        <v>1.444E-3</v>
      </c>
      <c r="V53" s="5">
        <v>0.72199999999999998</v>
      </c>
      <c r="W53" s="5">
        <v>0.72199999999999998</v>
      </c>
      <c r="X53" s="5">
        <v>0.72199999999999998</v>
      </c>
      <c r="Y53" s="5">
        <v>0.72199999999999998</v>
      </c>
      <c r="Z53" s="5">
        <v>0.72199999999999998</v>
      </c>
      <c r="AA53" s="5">
        <v>0.72199999999999998</v>
      </c>
      <c r="AB53" s="5">
        <v>0.72199999999999998</v>
      </c>
      <c r="AC53" s="5">
        <v>0.72199999999999998</v>
      </c>
      <c r="AD53" s="5">
        <v>0.72199999999999998</v>
      </c>
      <c r="AE53" s="5">
        <v>0.72199999999999998</v>
      </c>
      <c r="AF53" s="5">
        <v>0.72199999999999998</v>
      </c>
      <c r="AG53" s="5">
        <v>0.72199999999999998</v>
      </c>
      <c r="AH53" s="4">
        <v>8.6639999999999997</v>
      </c>
    </row>
    <row r="54" spans="1:34" hidden="1">
      <c r="A54" s="9" t="s">
        <v>28</v>
      </c>
      <c r="B54" s="14">
        <f t="shared" si="4"/>
        <v>44927</v>
      </c>
      <c r="C54" s="9" t="s">
        <v>118</v>
      </c>
      <c r="D54" s="66" t="s">
        <v>119</v>
      </c>
      <c r="E54" s="21" t="s">
        <v>122</v>
      </c>
      <c r="F54" s="10" t="s">
        <v>123</v>
      </c>
      <c r="G54" s="7" t="str">
        <f t="array" ref="G54">IF(OR(C54="",F54=""),"",IFERROR(_xlfn.XLOOKUP(1, (INDEX(Emission_Factor_Unit,,1)=C54)*(INDEX(Emission_Factor_Unit,,2)=F54), INDEX(Emission_Factor_Unit,,4)),""))</f>
        <v>km</v>
      </c>
      <c r="H54" s="5">
        <v>30</v>
      </c>
      <c r="I54" s="5">
        <v>30</v>
      </c>
      <c r="J54" s="5">
        <v>30</v>
      </c>
      <c r="K54" s="5">
        <v>30</v>
      </c>
      <c r="L54" s="5">
        <v>30</v>
      </c>
      <c r="M54" s="5">
        <v>30</v>
      </c>
      <c r="N54" s="5">
        <v>30</v>
      </c>
      <c r="O54" s="5">
        <v>30</v>
      </c>
      <c r="P54" s="5">
        <v>30</v>
      </c>
      <c r="Q54" s="5">
        <v>30</v>
      </c>
      <c r="R54" s="5">
        <v>30</v>
      </c>
      <c r="S54" s="5">
        <v>30</v>
      </c>
      <c r="T54" s="5">
        <f t="shared" si="5"/>
        <v>360</v>
      </c>
      <c r="U54" s="6">
        <v>5.0490000000000014E-3</v>
      </c>
      <c r="V54" s="5">
        <v>0.15146999999999999</v>
      </c>
      <c r="W54" s="5">
        <v>0.15146999999999999</v>
      </c>
      <c r="X54" s="5">
        <v>0.15146999999999999</v>
      </c>
      <c r="Y54" s="5">
        <v>0.15146999999999999</v>
      </c>
      <c r="Z54" s="5">
        <v>0.15146999999999999</v>
      </c>
      <c r="AA54" s="5">
        <v>0.15146999999999999</v>
      </c>
      <c r="AB54" s="5">
        <v>0.15146999999999999</v>
      </c>
      <c r="AC54" s="5">
        <v>0.15146999999999999</v>
      </c>
      <c r="AD54" s="5">
        <v>0.15146999999999999</v>
      </c>
      <c r="AE54" s="5">
        <v>0.15146999999999999</v>
      </c>
      <c r="AF54" s="5">
        <v>0.15146999999999999</v>
      </c>
      <c r="AG54" s="5">
        <v>0.15146999999999999</v>
      </c>
      <c r="AH54" s="4">
        <v>1.8176399999999999</v>
      </c>
    </row>
    <row r="55" spans="1:34" hidden="1">
      <c r="A55" s="9" t="s">
        <v>35</v>
      </c>
      <c r="B55" s="14">
        <f t="shared" si="4"/>
        <v>44927</v>
      </c>
      <c r="C55" s="9" t="s">
        <v>118</v>
      </c>
      <c r="D55" s="66" t="s">
        <v>119</v>
      </c>
      <c r="E55" s="21" t="s">
        <v>124</v>
      </c>
      <c r="F55" s="10" t="s">
        <v>121</v>
      </c>
      <c r="G55" s="7" t="str">
        <f t="array" ref="G55">IF(OR(C55="",F55=""),"",IFERROR(_xlfn.XLOOKUP(1, (INDEX(Emission_Factor_Unit,,1)=C55)*(INDEX(Emission_Factor_Unit,,2)=F55), INDEX(Emission_Factor_Unit,,4)),""))</f>
        <v>km</v>
      </c>
      <c r="H55" s="5">
        <v>500</v>
      </c>
      <c r="I55" s="5">
        <v>500</v>
      </c>
      <c r="J55" s="5">
        <v>500</v>
      </c>
      <c r="K55" s="5">
        <v>500</v>
      </c>
      <c r="L55" s="5">
        <v>500</v>
      </c>
      <c r="M55" s="5">
        <v>500</v>
      </c>
      <c r="N55" s="5">
        <v>500</v>
      </c>
      <c r="O55" s="5">
        <v>500</v>
      </c>
      <c r="P55" s="5">
        <v>500</v>
      </c>
      <c r="Q55" s="5">
        <v>500</v>
      </c>
      <c r="R55" s="5">
        <v>500</v>
      </c>
      <c r="S55" s="5">
        <v>500</v>
      </c>
      <c r="T55" s="5">
        <f t="shared" si="5"/>
        <v>6000</v>
      </c>
      <c r="U55" s="6">
        <v>1.444E-3</v>
      </c>
      <c r="V55" s="5">
        <v>0.72199999999999998</v>
      </c>
      <c r="W55" s="5">
        <v>0.72199999999999998</v>
      </c>
      <c r="X55" s="5">
        <v>0.72199999999999998</v>
      </c>
      <c r="Y55" s="5">
        <v>0.72199999999999998</v>
      </c>
      <c r="Z55" s="5">
        <v>0.72199999999999998</v>
      </c>
      <c r="AA55" s="5">
        <v>0.72199999999999998</v>
      </c>
      <c r="AB55" s="5">
        <v>0.72199999999999998</v>
      </c>
      <c r="AC55" s="5">
        <v>0.72199999999999998</v>
      </c>
      <c r="AD55" s="5">
        <v>0.72199999999999998</v>
      </c>
      <c r="AE55" s="5">
        <v>0.72199999999999998</v>
      </c>
      <c r="AF55" s="5">
        <v>0.72199999999999998</v>
      </c>
      <c r="AG55" s="5">
        <v>0.72199999999999998</v>
      </c>
      <c r="AH55" s="4">
        <v>8.6639999999999997</v>
      </c>
    </row>
    <row r="56" spans="1:34" hidden="1">
      <c r="A56" s="9" t="s">
        <v>35</v>
      </c>
      <c r="B56" s="14">
        <f t="shared" si="4"/>
        <v>44927</v>
      </c>
      <c r="C56" s="9" t="s">
        <v>118</v>
      </c>
      <c r="D56" s="66" t="s">
        <v>119</v>
      </c>
      <c r="E56" s="21" t="s">
        <v>125</v>
      </c>
      <c r="F56" s="10" t="s">
        <v>123</v>
      </c>
      <c r="G56" s="7" t="str">
        <f t="array" ref="G56">IF(OR(C56="",F56=""),"",IFERROR(_xlfn.XLOOKUP(1, (INDEX(Emission_Factor_Unit,,1)=C56)*(INDEX(Emission_Factor_Unit,,2)=F56), INDEX(Emission_Factor_Unit,,4)),""))</f>
        <v>km</v>
      </c>
      <c r="H56" s="5">
        <v>60</v>
      </c>
      <c r="I56" s="5">
        <v>60</v>
      </c>
      <c r="J56" s="5">
        <v>60</v>
      </c>
      <c r="K56" s="5">
        <v>60</v>
      </c>
      <c r="L56" s="5">
        <v>60</v>
      </c>
      <c r="M56" s="5">
        <v>60</v>
      </c>
      <c r="N56" s="5">
        <v>60</v>
      </c>
      <c r="O56" s="5">
        <v>60</v>
      </c>
      <c r="P56" s="5">
        <v>60</v>
      </c>
      <c r="Q56" s="5">
        <v>60</v>
      </c>
      <c r="R56" s="5">
        <v>60</v>
      </c>
      <c r="S56" s="5">
        <v>60</v>
      </c>
      <c r="T56" s="5">
        <f t="shared" si="5"/>
        <v>720</v>
      </c>
      <c r="U56" s="6">
        <v>5.0490000000000014E-3</v>
      </c>
      <c r="V56" s="5">
        <v>0.30293999999999999</v>
      </c>
      <c r="W56" s="5">
        <v>0.30293999999999999</v>
      </c>
      <c r="X56" s="5">
        <v>0.30293999999999999</v>
      </c>
      <c r="Y56" s="5">
        <v>0.30293999999999999</v>
      </c>
      <c r="Z56" s="5">
        <v>0.30293999999999999</v>
      </c>
      <c r="AA56" s="5">
        <v>0.30293999999999999</v>
      </c>
      <c r="AB56" s="5">
        <v>0.30293999999999999</v>
      </c>
      <c r="AC56" s="5">
        <v>0.30293999999999999</v>
      </c>
      <c r="AD56" s="5">
        <v>0.30293999999999999</v>
      </c>
      <c r="AE56" s="5">
        <v>0.30293999999999999</v>
      </c>
      <c r="AF56" s="5">
        <v>0.30293999999999999</v>
      </c>
      <c r="AG56" s="5">
        <v>0.30293999999999999</v>
      </c>
      <c r="AH56" s="4">
        <v>3.6352799999999998</v>
      </c>
    </row>
    <row r="57" spans="1:34" hidden="1">
      <c r="A57" s="9" t="s">
        <v>37</v>
      </c>
      <c r="B57" s="14">
        <f t="shared" si="4"/>
        <v>44927</v>
      </c>
      <c r="C57" s="9" t="s">
        <v>118</v>
      </c>
      <c r="D57" s="66" t="s">
        <v>119</v>
      </c>
      <c r="E57" s="21" t="s">
        <v>126</v>
      </c>
      <c r="F57" s="10" t="s">
        <v>121</v>
      </c>
      <c r="G57" s="7" t="str">
        <f t="array" ref="G57">IF(OR(C57="",F57=""),"",IFERROR(_xlfn.XLOOKUP(1, (INDEX(Emission_Factor_Unit,,1)=C57)*(INDEX(Emission_Factor_Unit,,2)=F57), INDEX(Emission_Factor_Unit,,4)),""))</f>
        <v>km</v>
      </c>
      <c r="H57" s="5">
        <v>500</v>
      </c>
      <c r="I57" s="5">
        <v>500</v>
      </c>
      <c r="J57" s="5">
        <v>500</v>
      </c>
      <c r="K57" s="5">
        <v>500</v>
      </c>
      <c r="L57" s="5">
        <v>500</v>
      </c>
      <c r="M57" s="5">
        <v>500</v>
      </c>
      <c r="N57" s="5">
        <v>500</v>
      </c>
      <c r="O57" s="5">
        <v>500</v>
      </c>
      <c r="P57" s="5">
        <v>500</v>
      </c>
      <c r="Q57" s="5">
        <v>500</v>
      </c>
      <c r="R57" s="5">
        <v>500</v>
      </c>
      <c r="S57" s="5">
        <v>500</v>
      </c>
      <c r="T57" s="5">
        <f t="shared" si="5"/>
        <v>6000</v>
      </c>
      <c r="U57" s="6">
        <v>1.444E-3</v>
      </c>
      <c r="V57" s="5">
        <v>0.72199999999999998</v>
      </c>
      <c r="W57" s="5">
        <v>0.72199999999999998</v>
      </c>
      <c r="X57" s="5">
        <v>0.72199999999999998</v>
      </c>
      <c r="Y57" s="5">
        <v>0.72199999999999998</v>
      </c>
      <c r="Z57" s="5">
        <v>0.72199999999999998</v>
      </c>
      <c r="AA57" s="5">
        <v>0.72199999999999998</v>
      </c>
      <c r="AB57" s="5">
        <v>0.72199999999999998</v>
      </c>
      <c r="AC57" s="5">
        <v>0.72199999999999998</v>
      </c>
      <c r="AD57" s="5">
        <v>0.72199999999999998</v>
      </c>
      <c r="AE57" s="5">
        <v>0.72199999999999998</v>
      </c>
      <c r="AF57" s="5">
        <v>0.72199999999999998</v>
      </c>
      <c r="AG57" s="5">
        <v>0.72199999999999998</v>
      </c>
      <c r="AH57" s="4">
        <v>8.6639999999999997</v>
      </c>
    </row>
    <row r="58" spans="1:34" hidden="1">
      <c r="A58" s="9" t="s">
        <v>37</v>
      </c>
      <c r="B58" s="14">
        <f t="shared" si="4"/>
        <v>44927</v>
      </c>
      <c r="C58" s="9" t="s">
        <v>118</v>
      </c>
      <c r="D58" s="66" t="s">
        <v>119</v>
      </c>
      <c r="E58" s="21" t="s">
        <v>127</v>
      </c>
      <c r="F58" s="10" t="s">
        <v>123</v>
      </c>
      <c r="G58" s="7" t="str">
        <f t="array" ref="G58">IF(OR(C58="",F58=""),"",IFERROR(_xlfn.XLOOKUP(1, (INDEX(Emission_Factor_Unit,,1)=C58)*(INDEX(Emission_Factor_Unit,,2)=F58), INDEX(Emission_Factor_Unit,,4)),""))</f>
        <v>km</v>
      </c>
      <c r="H58" s="5">
        <v>60</v>
      </c>
      <c r="I58" s="5">
        <v>60</v>
      </c>
      <c r="J58" s="5">
        <v>60</v>
      </c>
      <c r="K58" s="5">
        <v>60</v>
      </c>
      <c r="L58" s="5">
        <v>60</v>
      </c>
      <c r="M58" s="5">
        <v>60</v>
      </c>
      <c r="N58" s="5">
        <v>60</v>
      </c>
      <c r="O58" s="5">
        <v>60</v>
      </c>
      <c r="P58" s="5">
        <v>60</v>
      </c>
      <c r="Q58" s="5">
        <v>60</v>
      </c>
      <c r="R58" s="5">
        <v>60</v>
      </c>
      <c r="S58" s="5">
        <v>60</v>
      </c>
      <c r="T58" s="5">
        <f t="shared" si="5"/>
        <v>720</v>
      </c>
      <c r="U58" s="6">
        <v>5.0490000000000014E-3</v>
      </c>
      <c r="V58" s="5">
        <v>0.30293999999999999</v>
      </c>
      <c r="W58" s="5">
        <v>0.30293999999999999</v>
      </c>
      <c r="X58" s="5">
        <v>0.30293999999999999</v>
      </c>
      <c r="Y58" s="5">
        <v>0.30293999999999999</v>
      </c>
      <c r="Z58" s="5">
        <v>0.30293999999999999</v>
      </c>
      <c r="AA58" s="5">
        <v>0.30293999999999999</v>
      </c>
      <c r="AB58" s="5">
        <v>0.30293999999999999</v>
      </c>
      <c r="AC58" s="5">
        <v>0.30293999999999999</v>
      </c>
      <c r="AD58" s="5">
        <v>0.30293999999999999</v>
      </c>
      <c r="AE58" s="5">
        <v>0.30293999999999999</v>
      </c>
      <c r="AF58" s="5">
        <v>0.30293999999999999</v>
      </c>
      <c r="AG58" s="5">
        <v>0.30293999999999999</v>
      </c>
      <c r="AH58" s="4">
        <v>3.6352799999999998</v>
      </c>
    </row>
    <row r="59" spans="1:34" hidden="1">
      <c r="A59" s="9" t="s">
        <v>42</v>
      </c>
      <c r="B59" s="14">
        <f t="shared" si="4"/>
        <v>44927</v>
      </c>
      <c r="C59" s="9" t="s">
        <v>118</v>
      </c>
      <c r="D59" s="66" t="s">
        <v>119</v>
      </c>
      <c r="E59" s="21" t="s">
        <v>128</v>
      </c>
      <c r="F59" s="10" t="s">
        <v>129</v>
      </c>
      <c r="G59" s="7" t="str">
        <f t="array" ref="G59">IF(OR(C59="",F59=""),"",IFERROR(_xlfn.XLOOKUP(1, (INDEX(Emission_Factor_Unit,,1)=C59)*(INDEX(Emission_Factor_Unit,,2)=F59), INDEX(Emission_Factor_Unit,,4)),""))</f>
        <v>km</v>
      </c>
      <c r="H59" s="5">
        <v>120</v>
      </c>
      <c r="I59" s="5">
        <v>120</v>
      </c>
      <c r="J59" s="5">
        <v>120</v>
      </c>
      <c r="K59" s="5">
        <v>120</v>
      </c>
      <c r="L59" s="5">
        <v>120</v>
      </c>
      <c r="M59" s="5">
        <v>120</v>
      </c>
      <c r="N59" s="5">
        <v>120</v>
      </c>
      <c r="O59" s="5">
        <v>120</v>
      </c>
      <c r="P59" s="5">
        <v>120</v>
      </c>
      <c r="Q59" s="5">
        <v>120</v>
      </c>
      <c r="R59" s="5">
        <v>120</v>
      </c>
      <c r="S59" s="5">
        <v>120</v>
      </c>
      <c r="T59" s="5">
        <f t="shared" si="5"/>
        <v>1440</v>
      </c>
      <c r="U59" s="6">
        <v>5.6450000000000001E-4</v>
      </c>
      <c r="V59" s="5">
        <v>6.7739999999999995E-2</v>
      </c>
      <c r="W59" s="5">
        <v>6.7739999999999995E-2</v>
      </c>
      <c r="X59" s="5">
        <v>6.7739999999999995E-2</v>
      </c>
      <c r="Y59" s="5">
        <v>6.7739999999999995E-2</v>
      </c>
      <c r="Z59" s="5">
        <v>6.7739999999999995E-2</v>
      </c>
      <c r="AA59" s="5">
        <v>6.7739999999999995E-2</v>
      </c>
      <c r="AB59" s="5">
        <v>6.7739999999999995E-2</v>
      </c>
      <c r="AC59" s="5">
        <v>6.7739999999999995E-2</v>
      </c>
      <c r="AD59" s="5">
        <v>6.7739999999999995E-2</v>
      </c>
      <c r="AE59" s="5">
        <v>6.7739999999999995E-2</v>
      </c>
      <c r="AF59" s="5">
        <v>6.7739999999999995E-2</v>
      </c>
      <c r="AG59" s="5">
        <v>6.7739999999999995E-2</v>
      </c>
      <c r="AH59" s="4">
        <v>0.81288000000000005</v>
      </c>
    </row>
    <row r="60" spans="1:34" hidden="1">
      <c r="A60" s="9" t="s">
        <v>42</v>
      </c>
      <c r="B60" s="14">
        <f t="shared" si="4"/>
        <v>44927</v>
      </c>
      <c r="C60" s="9" t="s">
        <v>118</v>
      </c>
      <c r="D60" s="66" t="s">
        <v>119</v>
      </c>
      <c r="E60" s="21" t="s">
        <v>130</v>
      </c>
      <c r="F60" s="10" t="s">
        <v>129</v>
      </c>
      <c r="G60" s="7" t="str">
        <f t="array" ref="G60">IF(OR(C60="",F60=""),"",IFERROR(_xlfn.XLOOKUP(1, (INDEX(Emission_Factor_Unit,,1)=C60)*(INDEX(Emission_Factor_Unit,,2)=F60), INDEX(Emission_Factor_Unit,,4)),""))</f>
        <v>km</v>
      </c>
      <c r="H60" s="5">
        <v>120</v>
      </c>
      <c r="I60" s="5">
        <v>120</v>
      </c>
      <c r="J60" s="5">
        <v>120</v>
      </c>
      <c r="K60" s="5">
        <v>120</v>
      </c>
      <c r="L60" s="5">
        <v>120</v>
      </c>
      <c r="M60" s="5">
        <v>120</v>
      </c>
      <c r="N60" s="5">
        <v>120</v>
      </c>
      <c r="O60" s="5">
        <v>120</v>
      </c>
      <c r="P60" s="5">
        <v>120</v>
      </c>
      <c r="Q60" s="5">
        <v>120</v>
      </c>
      <c r="R60" s="5">
        <v>120</v>
      </c>
      <c r="S60" s="5">
        <v>120</v>
      </c>
      <c r="T60" s="5">
        <f t="shared" si="5"/>
        <v>1440</v>
      </c>
      <c r="U60" s="6">
        <v>5.6450000000000001E-4</v>
      </c>
      <c r="V60" s="5">
        <v>6.7739999999999995E-2</v>
      </c>
      <c r="W60" s="5">
        <v>6.7739999999999995E-2</v>
      </c>
      <c r="X60" s="5">
        <v>6.7739999999999995E-2</v>
      </c>
      <c r="Y60" s="5">
        <v>6.7739999999999995E-2</v>
      </c>
      <c r="Z60" s="5">
        <v>6.7739999999999995E-2</v>
      </c>
      <c r="AA60" s="5">
        <v>6.7739999999999995E-2</v>
      </c>
      <c r="AB60" s="5">
        <v>6.7739999999999995E-2</v>
      </c>
      <c r="AC60" s="5">
        <v>6.7739999999999995E-2</v>
      </c>
      <c r="AD60" s="5">
        <v>6.7739999999999995E-2</v>
      </c>
      <c r="AE60" s="5">
        <v>6.7739999999999995E-2</v>
      </c>
      <c r="AF60" s="5">
        <v>6.7739999999999995E-2</v>
      </c>
      <c r="AG60" s="5">
        <v>6.7739999999999995E-2</v>
      </c>
      <c r="AH60" s="4">
        <v>0.81288000000000005</v>
      </c>
    </row>
    <row r="61" spans="1:34" hidden="1">
      <c r="A61" s="9" t="s">
        <v>55</v>
      </c>
      <c r="B61" s="14">
        <f t="shared" si="4"/>
        <v>44927</v>
      </c>
      <c r="C61" s="9" t="s">
        <v>118</v>
      </c>
      <c r="D61" s="66" t="s">
        <v>119</v>
      </c>
      <c r="E61" s="21" t="s">
        <v>131</v>
      </c>
      <c r="F61" s="10" t="s">
        <v>132</v>
      </c>
      <c r="G61" s="7" t="str">
        <f t="array" ref="G61">IF(OR(C61="",F61=""),"",IFERROR(_xlfn.XLOOKUP(1, (INDEX(Emission_Factor_Unit,,1)=C61)*(INDEX(Emission_Factor_Unit,,2)=F61), INDEX(Emission_Factor_Unit,,4)),""))</f>
        <v>km</v>
      </c>
      <c r="H61" s="5">
        <v>1000000</v>
      </c>
      <c r="I61" s="5">
        <v>1000000</v>
      </c>
      <c r="J61" s="5">
        <v>1000000</v>
      </c>
      <c r="K61" s="5">
        <v>1000000</v>
      </c>
      <c r="L61" s="5">
        <v>1000000</v>
      </c>
      <c r="M61" s="5">
        <v>1000000</v>
      </c>
      <c r="N61" s="5">
        <v>1000000</v>
      </c>
      <c r="O61" s="5">
        <v>1000000</v>
      </c>
      <c r="P61" s="5">
        <v>1000000</v>
      </c>
      <c r="Q61" s="5">
        <v>1000000</v>
      </c>
      <c r="R61" s="5">
        <v>1000000</v>
      </c>
      <c r="S61" s="5">
        <v>1000000</v>
      </c>
      <c r="T61" s="5">
        <f t="shared" si="5"/>
        <v>12000000</v>
      </c>
      <c r="U61" s="6">
        <v>9.1950000000000007E-4</v>
      </c>
      <c r="V61" s="5">
        <v>919.50000000000011</v>
      </c>
      <c r="W61" s="5">
        <v>919.50000000000011</v>
      </c>
      <c r="X61" s="5">
        <v>919.50000000000011</v>
      </c>
      <c r="Y61" s="5">
        <v>919.50000000000011</v>
      </c>
      <c r="Z61" s="5">
        <v>919.50000000000011</v>
      </c>
      <c r="AA61" s="5">
        <v>919.50000000000011</v>
      </c>
      <c r="AB61" s="5">
        <v>919.50000000000011</v>
      </c>
      <c r="AC61" s="5">
        <v>919.50000000000011</v>
      </c>
      <c r="AD61" s="5">
        <v>919.50000000000011</v>
      </c>
      <c r="AE61" s="5">
        <v>919.50000000000011</v>
      </c>
      <c r="AF61" s="5">
        <v>919.50000000000011</v>
      </c>
      <c r="AG61" s="5">
        <v>919.50000000000011</v>
      </c>
      <c r="AH61" s="4">
        <v>11034</v>
      </c>
    </row>
    <row r="62" spans="1:34" hidden="1">
      <c r="A62" s="9" t="s">
        <v>55</v>
      </c>
      <c r="B62" s="14">
        <f t="shared" si="4"/>
        <v>44927</v>
      </c>
      <c r="C62" s="9" t="s">
        <v>118</v>
      </c>
      <c r="D62" s="66" t="s">
        <v>119</v>
      </c>
      <c r="E62" s="21" t="s">
        <v>133</v>
      </c>
      <c r="F62" s="10" t="s">
        <v>134</v>
      </c>
      <c r="G62" s="7" t="str">
        <f t="array" ref="G62">IF(OR(C62="",F62=""),"",IFERROR(_xlfn.XLOOKUP(1, (INDEX(Emission_Factor_Unit,,1)=C62)*(INDEX(Emission_Factor_Unit,,2)=F62), INDEX(Emission_Factor_Unit,,4)),""))</f>
        <v>km</v>
      </c>
      <c r="H62" s="5">
        <v>1000000</v>
      </c>
      <c r="I62" s="5">
        <v>1000000</v>
      </c>
      <c r="J62" s="5">
        <v>1000000</v>
      </c>
      <c r="K62" s="5">
        <v>1000000</v>
      </c>
      <c r="L62" s="5">
        <v>1000000</v>
      </c>
      <c r="M62" s="5">
        <v>1000000</v>
      </c>
      <c r="N62" s="5">
        <v>1000000</v>
      </c>
      <c r="O62" s="5">
        <v>1000000</v>
      </c>
      <c r="P62" s="5">
        <v>1000000</v>
      </c>
      <c r="Q62" s="5">
        <v>1000000</v>
      </c>
      <c r="R62" s="5">
        <v>1000000</v>
      </c>
      <c r="S62" s="5">
        <v>1000000</v>
      </c>
      <c r="T62" s="5">
        <f t="shared" si="5"/>
        <v>12000000</v>
      </c>
      <c r="U62" s="6">
        <v>9.8539999999999999E-4</v>
      </c>
      <c r="V62" s="5">
        <v>985.4</v>
      </c>
      <c r="W62" s="5">
        <v>985.4</v>
      </c>
      <c r="X62" s="5">
        <v>985.4</v>
      </c>
      <c r="Y62" s="5">
        <v>985.4</v>
      </c>
      <c r="Z62" s="5">
        <v>985.4</v>
      </c>
      <c r="AA62" s="5">
        <v>985.4</v>
      </c>
      <c r="AB62" s="5">
        <v>985.4</v>
      </c>
      <c r="AC62" s="5">
        <v>985.4</v>
      </c>
      <c r="AD62" s="5">
        <v>985.4</v>
      </c>
      <c r="AE62" s="5">
        <v>985.4</v>
      </c>
      <c r="AF62" s="5">
        <v>985.4</v>
      </c>
      <c r="AG62" s="5">
        <v>985.4</v>
      </c>
      <c r="AH62" s="4">
        <v>11824.8</v>
      </c>
    </row>
    <row r="63" spans="1:34" hidden="1">
      <c r="A63" s="9" t="s">
        <v>28</v>
      </c>
      <c r="B63" s="14">
        <f t="shared" si="4"/>
        <v>44927</v>
      </c>
      <c r="C63" s="9" t="s">
        <v>118</v>
      </c>
      <c r="D63" s="66" t="s">
        <v>135</v>
      </c>
      <c r="E63" s="21" t="s">
        <v>120</v>
      </c>
      <c r="F63" s="10" t="s">
        <v>121</v>
      </c>
      <c r="G63" s="7" t="str">
        <f t="array" ref="G63">IF(OR(C63="",F63=""),"",IFERROR(_xlfn.XLOOKUP(1, (INDEX(Emission_Factor_Unit,,1)=C63)*(INDEX(Emission_Factor_Unit,,2)=F63), INDEX(Emission_Factor_Unit,,4)),""))</f>
        <v>km</v>
      </c>
      <c r="H63" s="5">
        <v>15</v>
      </c>
      <c r="I63" s="5">
        <v>15</v>
      </c>
      <c r="J63" s="5">
        <v>15</v>
      </c>
      <c r="K63" s="5">
        <v>15</v>
      </c>
      <c r="L63" s="5">
        <v>15</v>
      </c>
      <c r="M63" s="5">
        <v>15</v>
      </c>
      <c r="N63" s="5">
        <v>15</v>
      </c>
      <c r="O63" s="5">
        <v>15</v>
      </c>
      <c r="P63" s="5">
        <v>15</v>
      </c>
      <c r="Q63" s="5">
        <v>15</v>
      </c>
      <c r="R63" s="5">
        <v>15</v>
      </c>
      <c r="S63" s="5">
        <v>15</v>
      </c>
      <c r="T63" s="5">
        <f t="shared" si="5"/>
        <v>180</v>
      </c>
      <c r="U63" s="6">
        <v>1.444E-3</v>
      </c>
      <c r="V63" s="5">
        <v>2.1659999999999999E-2</v>
      </c>
      <c r="W63" s="5">
        <v>2.1659999999999999E-2</v>
      </c>
      <c r="X63" s="5">
        <v>2.1659999999999999E-2</v>
      </c>
      <c r="Y63" s="5">
        <v>2.1659999999999999E-2</v>
      </c>
      <c r="Z63" s="5">
        <v>2.1659999999999999E-2</v>
      </c>
      <c r="AA63" s="5">
        <v>2.1659999999999999E-2</v>
      </c>
      <c r="AB63" s="5">
        <v>2.1659999999999999E-2</v>
      </c>
      <c r="AC63" s="5">
        <v>2.1659999999999999E-2</v>
      </c>
      <c r="AD63" s="5">
        <v>2.1659999999999999E-2</v>
      </c>
      <c r="AE63" s="5">
        <v>2.1659999999999999E-2</v>
      </c>
      <c r="AF63" s="5">
        <v>2.1659999999999999E-2</v>
      </c>
      <c r="AG63" s="5">
        <v>2.1659999999999999E-2</v>
      </c>
      <c r="AH63" s="4">
        <v>0.25991999999999998</v>
      </c>
    </row>
    <row r="64" spans="1:34" hidden="1">
      <c r="A64" s="9" t="s">
        <v>28</v>
      </c>
      <c r="B64" s="14">
        <f t="shared" si="4"/>
        <v>44927</v>
      </c>
      <c r="C64" s="9" t="s">
        <v>118</v>
      </c>
      <c r="D64" s="66" t="s">
        <v>135</v>
      </c>
      <c r="E64" s="21" t="s">
        <v>122</v>
      </c>
      <c r="F64" s="10" t="s">
        <v>123</v>
      </c>
      <c r="G64" s="7" t="str">
        <f t="array" ref="G64">IF(OR(C64="",F64=""),"",IFERROR(_xlfn.XLOOKUP(1, (INDEX(Emission_Factor_Unit,,1)=C64)*(INDEX(Emission_Factor_Unit,,2)=F64), INDEX(Emission_Factor_Unit,,4)),""))</f>
        <v>km</v>
      </c>
      <c r="H64" s="5">
        <v>7</v>
      </c>
      <c r="I64" s="5">
        <v>7</v>
      </c>
      <c r="J64" s="5">
        <v>7</v>
      </c>
      <c r="K64" s="5">
        <v>7</v>
      </c>
      <c r="L64" s="5">
        <v>7</v>
      </c>
      <c r="M64" s="5">
        <v>7</v>
      </c>
      <c r="N64" s="5">
        <v>7</v>
      </c>
      <c r="O64" s="5">
        <v>7</v>
      </c>
      <c r="P64" s="5">
        <v>7</v>
      </c>
      <c r="Q64" s="5">
        <v>7</v>
      </c>
      <c r="R64" s="5">
        <v>7</v>
      </c>
      <c r="S64" s="5">
        <v>7</v>
      </c>
      <c r="T64" s="5">
        <f t="shared" si="5"/>
        <v>84</v>
      </c>
      <c r="U64" s="6">
        <v>5.0490000000000014E-3</v>
      </c>
      <c r="V64" s="5">
        <v>3.5343000000000013E-2</v>
      </c>
      <c r="W64" s="5">
        <v>3.5343000000000013E-2</v>
      </c>
      <c r="X64" s="5">
        <v>3.5343000000000013E-2</v>
      </c>
      <c r="Y64" s="5">
        <v>3.5343000000000013E-2</v>
      </c>
      <c r="Z64" s="5">
        <v>3.5343000000000013E-2</v>
      </c>
      <c r="AA64" s="5">
        <v>3.5343000000000013E-2</v>
      </c>
      <c r="AB64" s="5">
        <v>3.5343000000000013E-2</v>
      </c>
      <c r="AC64" s="5">
        <v>3.5343000000000013E-2</v>
      </c>
      <c r="AD64" s="5">
        <v>3.5343000000000013E-2</v>
      </c>
      <c r="AE64" s="5">
        <v>3.5343000000000013E-2</v>
      </c>
      <c r="AF64" s="5">
        <v>3.5343000000000013E-2</v>
      </c>
      <c r="AG64" s="5">
        <v>3.5343000000000013E-2</v>
      </c>
      <c r="AH64" s="4">
        <v>0.42411599999999999</v>
      </c>
    </row>
    <row r="65" spans="1:34" hidden="1">
      <c r="A65" s="9" t="s">
        <v>35</v>
      </c>
      <c r="B65" s="14">
        <f t="shared" si="4"/>
        <v>44927</v>
      </c>
      <c r="C65" s="9" t="s">
        <v>118</v>
      </c>
      <c r="D65" s="66" t="s">
        <v>135</v>
      </c>
      <c r="E65" s="21" t="s">
        <v>124</v>
      </c>
      <c r="F65" s="10" t="s">
        <v>121</v>
      </c>
      <c r="G65" s="7" t="str">
        <f t="array" ref="G65">IF(OR(C65="",F65=""),"",IFERROR(_xlfn.XLOOKUP(1, (INDEX(Emission_Factor_Unit,,1)=C65)*(INDEX(Emission_Factor_Unit,,2)=F65), INDEX(Emission_Factor_Unit,,4)),""))</f>
        <v>km</v>
      </c>
      <c r="H65" s="5">
        <v>18</v>
      </c>
      <c r="I65" s="5">
        <v>18</v>
      </c>
      <c r="J65" s="5">
        <v>18</v>
      </c>
      <c r="K65" s="5">
        <v>18</v>
      </c>
      <c r="L65" s="5">
        <v>18</v>
      </c>
      <c r="M65" s="5">
        <v>18</v>
      </c>
      <c r="N65" s="5">
        <v>18</v>
      </c>
      <c r="O65" s="5">
        <v>18</v>
      </c>
      <c r="P65" s="5">
        <v>18</v>
      </c>
      <c r="Q65" s="5">
        <v>18</v>
      </c>
      <c r="R65" s="5">
        <v>18</v>
      </c>
      <c r="S65" s="5">
        <v>18</v>
      </c>
      <c r="T65" s="5">
        <f t="shared" si="5"/>
        <v>216</v>
      </c>
      <c r="U65" s="6">
        <v>1.444E-3</v>
      </c>
      <c r="V65" s="5">
        <v>2.5992000000000001E-2</v>
      </c>
      <c r="W65" s="5">
        <v>2.5992000000000001E-2</v>
      </c>
      <c r="X65" s="5">
        <v>2.5992000000000001E-2</v>
      </c>
      <c r="Y65" s="5">
        <v>2.5992000000000001E-2</v>
      </c>
      <c r="Z65" s="5">
        <v>2.5992000000000001E-2</v>
      </c>
      <c r="AA65" s="5">
        <v>2.5992000000000001E-2</v>
      </c>
      <c r="AB65" s="5">
        <v>2.5992000000000001E-2</v>
      </c>
      <c r="AC65" s="5">
        <v>2.5992000000000001E-2</v>
      </c>
      <c r="AD65" s="5">
        <v>2.5992000000000001E-2</v>
      </c>
      <c r="AE65" s="5">
        <v>2.5992000000000001E-2</v>
      </c>
      <c r="AF65" s="5">
        <v>2.5992000000000001E-2</v>
      </c>
      <c r="AG65" s="5">
        <v>2.5992000000000001E-2</v>
      </c>
      <c r="AH65" s="4">
        <v>0.31190400000000001</v>
      </c>
    </row>
    <row r="66" spans="1:34" hidden="1">
      <c r="A66" s="9" t="s">
        <v>35</v>
      </c>
      <c r="B66" s="14">
        <f t="shared" si="4"/>
        <v>44927</v>
      </c>
      <c r="C66" s="9" t="s">
        <v>118</v>
      </c>
      <c r="D66" s="66" t="s">
        <v>135</v>
      </c>
      <c r="E66" s="21" t="s">
        <v>125</v>
      </c>
      <c r="F66" s="10" t="s">
        <v>121</v>
      </c>
      <c r="G66" s="7" t="str">
        <f t="array" ref="G66">IF(OR(C66="",F66=""),"",IFERROR(_xlfn.XLOOKUP(1, (INDEX(Emission_Factor_Unit,,1)=C66)*(INDEX(Emission_Factor_Unit,,2)=F66), INDEX(Emission_Factor_Unit,,4)),""))</f>
        <v>km</v>
      </c>
      <c r="H66" s="5">
        <v>17</v>
      </c>
      <c r="I66" s="5">
        <v>17</v>
      </c>
      <c r="J66" s="5">
        <v>17</v>
      </c>
      <c r="K66" s="5">
        <v>17</v>
      </c>
      <c r="L66" s="5">
        <v>17</v>
      </c>
      <c r="M66" s="5">
        <v>17</v>
      </c>
      <c r="N66" s="5">
        <v>17</v>
      </c>
      <c r="O66" s="5">
        <v>17</v>
      </c>
      <c r="P66" s="5">
        <v>17</v>
      </c>
      <c r="Q66" s="5">
        <v>17</v>
      </c>
      <c r="R66" s="5">
        <v>17</v>
      </c>
      <c r="S66" s="5">
        <v>17</v>
      </c>
      <c r="T66" s="5">
        <f t="shared" si="5"/>
        <v>204</v>
      </c>
      <c r="U66" s="6">
        <v>1.444E-3</v>
      </c>
      <c r="V66" s="5">
        <v>2.4548E-2</v>
      </c>
      <c r="W66" s="5">
        <v>2.4548E-2</v>
      </c>
      <c r="X66" s="5">
        <v>2.4548E-2</v>
      </c>
      <c r="Y66" s="5">
        <v>2.4548E-2</v>
      </c>
      <c r="Z66" s="5">
        <v>2.4548E-2</v>
      </c>
      <c r="AA66" s="5">
        <v>2.4548E-2</v>
      </c>
      <c r="AB66" s="5">
        <v>2.4548E-2</v>
      </c>
      <c r="AC66" s="5">
        <v>2.4548E-2</v>
      </c>
      <c r="AD66" s="5">
        <v>2.4548E-2</v>
      </c>
      <c r="AE66" s="5">
        <v>2.4548E-2</v>
      </c>
      <c r="AF66" s="5">
        <v>2.4548E-2</v>
      </c>
      <c r="AG66" s="5">
        <v>2.4548E-2</v>
      </c>
      <c r="AH66" s="4">
        <v>0.294576</v>
      </c>
    </row>
    <row r="67" spans="1:34" hidden="1">
      <c r="A67" s="9" t="s">
        <v>37</v>
      </c>
      <c r="B67" s="14">
        <f t="shared" si="4"/>
        <v>44927</v>
      </c>
      <c r="C67" s="9" t="s">
        <v>118</v>
      </c>
      <c r="D67" s="66" t="s">
        <v>135</v>
      </c>
      <c r="E67" s="21" t="s">
        <v>126</v>
      </c>
      <c r="F67" s="10" t="s">
        <v>123</v>
      </c>
      <c r="G67" s="7" t="str">
        <f t="array" ref="G67">IF(OR(C67="",F67=""),"",IFERROR(_xlfn.XLOOKUP(1, (INDEX(Emission_Factor_Unit,,1)=C67)*(INDEX(Emission_Factor_Unit,,2)=F67), INDEX(Emission_Factor_Unit,,4)),""))</f>
        <v>km</v>
      </c>
      <c r="H67" s="5">
        <v>9</v>
      </c>
      <c r="I67" s="5">
        <v>9</v>
      </c>
      <c r="J67" s="5">
        <v>9</v>
      </c>
      <c r="K67" s="5">
        <v>9</v>
      </c>
      <c r="L67" s="5">
        <v>9</v>
      </c>
      <c r="M67" s="5">
        <v>9</v>
      </c>
      <c r="N67" s="5">
        <v>9</v>
      </c>
      <c r="O67" s="5">
        <v>9</v>
      </c>
      <c r="P67" s="5">
        <v>9</v>
      </c>
      <c r="Q67" s="5">
        <v>9</v>
      </c>
      <c r="R67" s="5">
        <v>9</v>
      </c>
      <c r="S67" s="5">
        <v>9</v>
      </c>
      <c r="T67" s="5">
        <f t="shared" si="5"/>
        <v>108</v>
      </c>
      <c r="U67" s="6">
        <v>5.0490000000000014E-3</v>
      </c>
      <c r="V67" s="5">
        <v>4.5441000000000002E-2</v>
      </c>
      <c r="W67" s="5">
        <v>4.5441000000000002E-2</v>
      </c>
      <c r="X67" s="5">
        <v>4.5441000000000002E-2</v>
      </c>
      <c r="Y67" s="5">
        <v>4.5441000000000002E-2</v>
      </c>
      <c r="Z67" s="5">
        <v>4.5441000000000002E-2</v>
      </c>
      <c r="AA67" s="5">
        <v>4.5441000000000002E-2</v>
      </c>
      <c r="AB67" s="5">
        <v>4.5441000000000002E-2</v>
      </c>
      <c r="AC67" s="5">
        <v>4.5441000000000002E-2</v>
      </c>
      <c r="AD67" s="5">
        <v>4.5441000000000002E-2</v>
      </c>
      <c r="AE67" s="5">
        <v>4.5441000000000002E-2</v>
      </c>
      <c r="AF67" s="5">
        <v>4.5441000000000002E-2</v>
      </c>
      <c r="AG67" s="5">
        <v>4.5441000000000002E-2</v>
      </c>
      <c r="AH67" s="4">
        <v>0.54529200000000011</v>
      </c>
    </row>
    <row r="68" spans="1:34" hidden="1">
      <c r="A68" s="9" t="s">
        <v>37</v>
      </c>
      <c r="B68" s="14">
        <f t="shared" si="4"/>
        <v>44927</v>
      </c>
      <c r="C68" s="9" t="s">
        <v>118</v>
      </c>
      <c r="D68" s="66" t="s">
        <v>135</v>
      </c>
      <c r="E68" s="21" t="s">
        <v>127</v>
      </c>
      <c r="F68" s="10" t="s">
        <v>121</v>
      </c>
      <c r="G68" s="7" t="str">
        <f t="array" ref="G68">IF(OR(C68="",F68=""),"",IFERROR(_xlfn.XLOOKUP(1, (INDEX(Emission_Factor_Unit,,1)=C68)*(INDEX(Emission_Factor_Unit,,2)=F68), INDEX(Emission_Factor_Unit,,4)),""))</f>
        <v>km</v>
      </c>
      <c r="H68" s="5">
        <v>20</v>
      </c>
      <c r="I68" s="5">
        <v>20</v>
      </c>
      <c r="J68" s="5">
        <v>20</v>
      </c>
      <c r="K68" s="5">
        <v>20</v>
      </c>
      <c r="L68" s="5">
        <v>20</v>
      </c>
      <c r="M68" s="5">
        <v>20</v>
      </c>
      <c r="N68" s="5">
        <v>20</v>
      </c>
      <c r="O68" s="5">
        <v>20</v>
      </c>
      <c r="P68" s="5">
        <v>20</v>
      </c>
      <c r="Q68" s="5">
        <v>20</v>
      </c>
      <c r="R68" s="5">
        <v>20</v>
      </c>
      <c r="S68" s="5">
        <v>20</v>
      </c>
      <c r="T68" s="5">
        <f t="shared" si="5"/>
        <v>240</v>
      </c>
      <c r="U68" s="6">
        <v>1.444E-3</v>
      </c>
      <c r="V68" s="5">
        <v>2.8879999999999999E-2</v>
      </c>
      <c r="W68" s="5">
        <v>2.8879999999999999E-2</v>
      </c>
      <c r="X68" s="5">
        <v>2.8879999999999999E-2</v>
      </c>
      <c r="Y68" s="5">
        <v>2.8879999999999999E-2</v>
      </c>
      <c r="Z68" s="5">
        <v>2.8879999999999999E-2</v>
      </c>
      <c r="AA68" s="5">
        <v>2.8879999999999999E-2</v>
      </c>
      <c r="AB68" s="5">
        <v>2.8879999999999999E-2</v>
      </c>
      <c r="AC68" s="5">
        <v>2.8879999999999999E-2</v>
      </c>
      <c r="AD68" s="5">
        <v>2.8879999999999999E-2</v>
      </c>
      <c r="AE68" s="5">
        <v>2.8879999999999999E-2</v>
      </c>
      <c r="AF68" s="5">
        <v>2.8879999999999999E-2</v>
      </c>
      <c r="AG68" s="5">
        <v>2.8879999999999999E-2</v>
      </c>
      <c r="AH68" s="4">
        <v>0.34655999999999998</v>
      </c>
    </row>
    <row r="69" spans="1:34" hidden="1">
      <c r="A69" s="9" t="s">
        <v>42</v>
      </c>
      <c r="B69" s="14">
        <f t="shared" si="4"/>
        <v>44927</v>
      </c>
      <c r="C69" s="9" t="s">
        <v>118</v>
      </c>
      <c r="D69" s="66" t="s">
        <v>135</v>
      </c>
      <c r="E69" s="21" t="s">
        <v>128</v>
      </c>
      <c r="F69" s="10" t="s">
        <v>123</v>
      </c>
      <c r="G69" s="7" t="str">
        <f t="array" ref="G69">IF(OR(C69="",F69=""),"",IFERROR(_xlfn.XLOOKUP(1, (INDEX(Emission_Factor_Unit,,1)=C69)*(INDEX(Emission_Factor_Unit,,2)=F69), INDEX(Emission_Factor_Unit,,4)),""))</f>
        <v>km</v>
      </c>
      <c r="H69" s="5">
        <v>8</v>
      </c>
      <c r="I69" s="5">
        <v>8</v>
      </c>
      <c r="J69" s="5">
        <v>8</v>
      </c>
      <c r="K69" s="5">
        <v>8</v>
      </c>
      <c r="L69" s="5">
        <v>8</v>
      </c>
      <c r="M69" s="5">
        <v>8</v>
      </c>
      <c r="N69" s="5">
        <v>8</v>
      </c>
      <c r="O69" s="5">
        <v>8</v>
      </c>
      <c r="P69" s="5">
        <v>8</v>
      </c>
      <c r="Q69" s="5">
        <v>8</v>
      </c>
      <c r="R69" s="5">
        <v>8</v>
      </c>
      <c r="S69" s="5">
        <v>8</v>
      </c>
      <c r="T69" s="5">
        <f t="shared" si="5"/>
        <v>96</v>
      </c>
      <c r="U69" s="6">
        <v>5.0490000000000014E-3</v>
      </c>
      <c r="V69" s="5">
        <v>4.0391999999999997E-2</v>
      </c>
      <c r="W69" s="5">
        <v>4.0391999999999997E-2</v>
      </c>
      <c r="X69" s="5">
        <v>4.0391999999999997E-2</v>
      </c>
      <c r="Y69" s="5">
        <v>4.0391999999999997E-2</v>
      </c>
      <c r="Z69" s="5">
        <v>4.0391999999999997E-2</v>
      </c>
      <c r="AA69" s="5">
        <v>4.0391999999999997E-2</v>
      </c>
      <c r="AB69" s="5">
        <v>4.0391999999999997E-2</v>
      </c>
      <c r="AC69" s="5">
        <v>4.0391999999999997E-2</v>
      </c>
      <c r="AD69" s="5">
        <v>4.0391999999999997E-2</v>
      </c>
      <c r="AE69" s="5">
        <v>4.0391999999999997E-2</v>
      </c>
      <c r="AF69" s="5">
        <v>4.0391999999999997E-2</v>
      </c>
      <c r="AG69" s="5">
        <v>4.0391999999999997E-2</v>
      </c>
      <c r="AH69" s="4">
        <v>0.48470400000000002</v>
      </c>
    </row>
    <row r="70" spans="1:34" hidden="1">
      <c r="A70" s="9" t="s">
        <v>42</v>
      </c>
      <c r="B70" s="14">
        <f t="shared" si="4"/>
        <v>44927</v>
      </c>
      <c r="C70" s="9" t="s">
        <v>118</v>
      </c>
      <c r="D70" s="66" t="s">
        <v>135</v>
      </c>
      <c r="E70" s="21" t="s">
        <v>130</v>
      </c>
      <c r="F70" s="10" t="s">
        <v>121</v>
      </c>
      <c r="G70" s="7" t="str">
        <f t="array" ref="G70">IF(OR(C70="",F70=""),"",IFERROR(_xlfn.XLOOKUP(1, (INDEX(Emission_Factor_Unit,,1)=C70)*(INDEX(Emission_Factor_Unit,,2)=F70), INDEX(Emission_Factor_Unit,,4)),""))</f>
        <v>km</v>
      </c>
      <c r="H70" s="5">
        <v>21</v>
      </c>
      <c r="I70" s="5">
        <v>21</v>
      </c>
      <c r="J70" s="5">
        <v>21</v>
      </c>
      <c r="K70" s="5">
        <v>21</v>
      </c>
      <c r="L70" s="5">
        <v>21</v>
      </c>
      <c r="M70" s="5">
        <v>21</v>
      </c>
      <c r="N70" s="5">
        <v>21</v>
      </c>
      <c r="O70" s="5">
        <v>21</v>
      </c>
      <c r="P70" s="5">
        <v>21</v>
      </c>
      <c r="Q70" s="5">
        <v>21</v>
      </c>
      <c r="R70" s="5">
        <v>21</v>
      </c>
      <c r="S70" s="5">
        <v>21</v>
      </c>
      <c r="T70" s="5">
        <f t="shared" si="5"/>
        <v>252</v>
      </c>
      <c r="U70" s="6">
        <v>1.444E-3</v>
      </c>
      <c r="V70" s="5">
        <v>3.0324E-2</v>
      </c>
      <c r="W70" s="5">
        <v>3.0324E-2</v>
      </c>
      <c r="X70" s="5">
        <v>3.0324E-2</v>
      </c>
      <c r="Y70" s="5">
        <v>3.0324E-2</v>
      </c>
      <c r="Z70" s="5">
        <v>3.0324E-2</v>
      </c>
      <c r="AA70" s="5">
        <v>3.0324E-2</v>
      </c>
      <c r="AB70" s="5">
        <v>3.0324E-2</v>
      </c>
      <c r="AC70" s="5">
        <v>3.0324E-2</v>
      </c>
      <c r="AD70" s="5">
        <v>3.0324E-2</v>
      </c>
      <c r="AE70" s="5">
        <v>3.0324E-2</v>
      </c>
      <c r="AF70" s="5">
        <v>3.0324E-2</v>
      </c>
      <c r="AG70" s="5">
        <v>3.0324E-2</v>
      </c>
      <c r="AH70" s="4">
        <v>0.36388799999999999</v>
      </c>
    </row>
    <row r="71" spans="1:34" hidden="1">
      <c r="A71" s="9" t="s">
        <v>55</v>
      </c>
      <c r="B71" s="14">
        <f t="shared" ref="B71:B72" si="6">IF(A71="","",DATE($F$1,1,1))</f>
        <v>44927</v>
      </c>
      <c r="C71" s="9" t="s">
        <v>118</v>
      </c>
      <c r="D71" s="66" t="s">
        <v>135</v>
      </c>
      <c r="E71" s="21" t="s">
        <v>131</v>
      </c>
      <c r="F71" s="10" t="s">
        <v>123</v>
      </c>
      <c r="G71" s="7" t="str">
        <f t="array" ref="G71">IF(OR(C71="",F71=""),"",IFERROR(_xlfn.XLOOKUP(1, (INDEX(Emission_Factor_Unit,,1)=C71)*(INDEX(Emission_Factor_Unit,,2)=F71), INDEX(Emission_Factor_Unit,,4)),""))</f>
        <v>km</v>
      </c>
      <c r="H71" s="5">
        <v>9</v>
      </c>
      <c r="I71" s="5">
        <v>9</v>
      </c>
      <c r="J71" s="5">
        <v>9</v>
      </c>
      <c r="K71" s="5">
        <v>9</v>
      </c>
      <c r="L71" s="5">
        <v>9</v>
      </c>
      <c r="M71" s="5">
        <v>9</v>
      </c>
      <c r="N71" s="5">
        <v>9</v>
      </c>
      <c r="O71" s="5">
        <v>9</v>
      </c>
      <c r="P71" s="5">
        <v>9</v>
      </c>
      <c r="Q71" s="5">
        <v>9</v>
      </c>
      <c r="R71" s="5">
        <v>9</v>
      </c>
      <c r="S71" s="5">
        <v>9</v>
      </c>
      <c r="T71" s="5">
        <f t="shared" ref="T71:T72" si="7">IF(COUNT(H71:S71)=0, "", SUM(H71:S71))</f>
        <v>108</v>
      </c>
      <c r="U71" s="6">
        <v>5.0490000000000014E-3</v>
      </c>
      <c r="V71" s="5">
        <v>4.5441000000000002E-2</v>
      </c>
      <c r="W71" s="5">
        <v>4.5441000000000002E-2</v>
      </c>
      <c r="X71" s="5">
        <v>4.5441000000000002E-2</v>
      </c>
      <c r="Y71" s="5">
        <v>4.5441000000000002E-2</v>
      </c>
      <c r="Z71" s="5">
        <v>4.5441000000000002E-2</v>
      </c>
      <c r="AA71" s="5">
        <v>4.5441000000000002E-2</v>
      </c>
      <c r="AB71" s="5">
        <v>4.5441000000000002E-2</v>
      </c>
      <c r="AC71" s="5">
        <v>4.5441000000000002E-2</v>
      </c>
      <c r="AD71" s="5">
        <v>4.5441000000000002E-2</v>
      </c>
      <c r="AE71" s="5">
        <v>4.5441000000000002E-2</v>
      </c>
      <c r="AF71" s="5">
        <v>4.5441000000000002E-2</v>
      </c>
      <c r="AG71" s="5">
        <v>4.5441000000000002E-2</v>
      </c>
      <c r="AH71" s="4">
        <v>0.54529200000000011</v>
      </c>
    </row>
    <row r="72" spans="1:34" hidden="1">
      <c r="A72" s="13" t="s">
        <v>55</v>
      </c>
      <c r="B72" s="12">
        <f t="shared" si="6"/>
        <v>44927</v>
      </c>
      <c r="C72" s="13" t="s">
        <v>118</v>
      </c>
      <c r="D72" s="66" t="s">
        <v>135</v>
      </c>
      <c r="E72" s="67" t="s">
        <v>133</v>
      </c>
      <c r="F72" s="8" t="s">
        <v>129</v>
      </c>
      <c r="G72" s="7" t="str">
        <f t="array" ref="G72">IF(OR(C72="",F72=""),"",IFERROR(_xlfn.XLOOKUP(1, (INDEX(Emission_Factor_Unit,,1)=C72)*(INDEX(Emission_Factor_Unit,,2)=F72), INDEX(Emission_Factor_Unit,,4)),""))</f>
        <v>km</v>
      </c>
      <c r="H72" s="5">
        <v>16</v>
      </c>
      <c r="I72" s="5">
        <v>16</v>
      </c>
      <c r="J72" s="5">
        <v>16</v>
      </c>
      <c r="K72" s="5">
        <v>16</v>
      </c>
      <c r="L72" s="5">
        <v>16</v>
      </c>
      <c r="M72" s="5">
        <v>16</v>
      </c>
      <c r="N72" s="5">
        <v>16</v>
      </c>
      <c r="O72" s="5">
        <v>16</v>
      </c>
      <c r="P72" s="5">
        <v>16</v>
      </c>
      <c r="Q72" s="5">
        <v>16</v>
      </c>
      <c r="R72" s="5">
        <v>16</v>
      </c>
      <c r="S72" s="5">
        <v>16</v>
      </c>
      <c r="T72" s="5">
        <f t="shared" si="7"/>
        <v>192</v>
      </c>
      <c r="U72" s="6">
        <v>5.6450000000000001E-4</v>
      </c>
      <c r="V72" s="5">
        <v>9.0320000000000001E-3</v>
      </c>
      <c r="W72" s="5">
        <v>9.0320000000000001E-3</v>
      </c>
      <c r="X72" s="5">
        <v>9.0320000000000001E-3</v>
      </c>
      <c r="Y72" s="5">
        <v>9.0320000000000001E-3</v>
      </c>
      <c r="Z72" s="5">
        <v>9.0320000000000001E-3</v>
      </c>
      <c r="AA72" s="5">
        <v>9.0320000000000001E-3</v>
      </c>
      <c r="AB72" s="5">
        <v>9.0320000000000001E-3</v>
      </c>
      <c r="AC72" s="5">
        <v>9.0320000000000001E-3</v>
      </c>
      <c r="AD72" s="5">
        <v>9.0320000000000001E-3</v>
      </c>
      <c r="AE72" s="5">
        <v>9.0320000000000001E-3</v>
      </c>
      <c r="AF72" s="5">
        <v>9.0320000000000001E-3</v>
      </c>
      <c r="AG72" s="5">
        <v>9.0320000000000001E-3</v>
      </c>
      <c r="AH72" s="4">
        <v>0.10838399999999999</v>
      </c>
    </row>
  </sheetData>
  <mergeCells count="35">
    <mergeCell ref="H2:T2"/>
    <mergeCell ref="AC3:AC4"/>
    <mergeCell ref="AE3:AE4"/>
    <mergeCell ref="B3:B4"/>
    <mergeCell ref="N3:N4"/>
    <mergeCell ref="F3:F4"/>
    <mergeCell ref="V2:AH2"/>
    <mergeCell ref="AA3:AA4"/>
    <mergeCell ref="AG3:AG4"/>
    <mergeCell ref="P3:P4"/>
    <mergeCell ref="R3:R4"/>
    <mergeCell ref="AB3:AB4"/>
    <mergeCell ref="AD3:AD4"/>
    <mergeCell ref="AF3:AF4"/>
    <mergeCell ref="V3:V4"/>
    <mergeCell ref="AH3:AH4"/>
    <mergeCell ref="Q3:Q4"/>
    <mergeCell ref="S3:S4"/>
    <mergeCell ref="Y3:Y4"/>
    <mergeCell ref="X3:X4"/>
    <mergeCell ref="Z3:Z4"/>
    <mergeCell ref="W3:W4"/>
    <mergeCell ref="A3:A4"/>
    <mergeCell ref="G3:G4"/>
    <mergeCell ref="M3:M4"/>
    <mergeCell ref="I3:I4"/>
    <mergeCell ref="U3:U4"/>
    <mergeCell ref="D3:D4"/>
    <mergeCell ref="H3:H4"/>
    <mergeCell ref="J3:J4"/>
    <mergeCell ref="K3:K4"/>
    <mergeCell ref="C3:C4"/>
    <mergeCell ref="O3:O4"/>
    <mergeCell ref="E3:E4"/>
    <mergeCell ref="L3:L4"/>
  </mergeCells>
  <dataValidations count="4">
    <dataValidation type="list" allowBlank="1" showInputMessage="1" showErrorMessage="1" sqref="C5 C7:C72" xr:uid="{00000000-0002-0000-0100-000000000000}">
      <formula1>Scope</formula1>
    </dataValidation>
    <dataValidation type="list" allowBlank="1" showInputMessage="1" showErrorMessage="1" sqref="F5 F7:F72" xr:uid="{00000000-0002-0000-0100-000001000000}">
      <formula1>INDIRECT(SUBSTITUTE(D5," ","_"))</formula1>
    </dataValidation>
    <dataValidation type="list" allowBlank="1" showInputMessage="1" showErrorMessage="1" sqref="D5 D7:D72" xr:uid="{00000000-0002-0000-0100-000002000000}">
      <formula1>INDIRECT(SUBSTITUTE(C5," ","_"))</formula1>
    </dataValidation>
    <dataValidation type="list" allowBlank="1" showInputMessage="1" showErrorMessage="1" sqref="A7:A147" xr:uid="{00000000-0002-0000-0100-000003000000}">
      <formula1>Plant</formula1>
    </dataValidation>
  </dataValidations>
  <pageMargins left="0.7" right="0.7" top="0.75" bottom="0.75" header="0.3" footer="0.3"/>
  <pageSetup paperSize="9" orientation="portrait" horizontalDpi="429496729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95"/>
  <sheetViews>
    <sheetView tabSelected="1" zoomScale="97" workbookViewId="0">
      <selection activeCell="G9" sqref="G9"/>
    </sheetView>
  </sheetViews>
  <sheetFormatPr defaultRowHeight="15"/>
  <cols>
    <col min="4" max="4" width="18" customWidth="1"/>
    <col min="5" max="5" width="15" customWidth="1"/>
    <col min="8" max="8" width="16.140625" customWidth="1"/>
    <col min="9" max="9" width="18" customWidth="1"/>
    <col min="10" max="10" width="25.85546875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>
      <c r="A2" t="s">
        <v>22</v>
      </c>
      <c r="B2">
        <v>2022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>
        <v>5.0351584999999997E-2</v>
      </c>
      <c r="I2">
        <v>1200</v>
      </c>
      <c r="J2">
        <v>60.421902000000003</v>
      </c>
      <c r="K2">
        <v>5.0351584999999996</v>
      </c>
      <c r="L2">
        <v>5.0351584999999996</v>
      </c>
      <c r="M2">
        <v>5.0351584999999996</v>
      </c>
      <c r="N2">
        <v>5.0351584999999996</v>
      </c>
      <c r="O2">
        <v>5.0351584999999996</v>
      </c>
      <c r="P2">
        <v>5.0351584999999996</v>
      </c>
      <c r="Q2">
        <v>5.0351584999999996</v>
      </c>
      <c r="R2">
        <v>5.0351584999999996</v>
      </c>
      <c r="S2">
        <v>5.0351584999999996</v>
      </c>
      <c r="T2">
        <v>5.0351584999999996</v>
      </c>
      <c r="U2">
        <v>5.0351584999999996</v>
      </c>
      <c r="V2">
        <v>5.0351584999999996</v>
      </c>
    </row>
    <row r="3" spans="1:22">
      <c r="A3" t="s">
        <v>28</v>
      </c>
      <c r="B3">
        <v>2022</v>
      </c>
      <c r="C3" t="s">
        <v>23</v>
      </c>
      <c r="D3" t="s">
        <v>29</v>
      </c>
      <c r="E3" t="s">
        <v>30</v>
      </c>
      <c r="F3" t="s">
        <v>30</v>
      </c>
      <c r="G3" t="s">
        <v>31</v>
      </c>
      <c r="H3">
        <v>1.8392250000000001E-3</v>
      </c>
      <c r="I3">
        <v>3192761.963297016</v>
      </c>
      <c r="J3">
        <v>1946.56967194345</v>
      </c>
      <c r="K3">
        <v>14.5862986377665</v>
      </c>
      <c r="L3">
        <v>155.08814792360999</v>
      </c>
      <c r="M3">
        <v>706.81397452562999</v>
      </c>
      <c r="N3">
        <v>406.84836365523302</v>
      </c>
      <c r="O3">
        <v>74.210026144500404</v>
      </c>
      <c r="P3">
        <v>17.4514313095784</v>
      </c>
      <c r="Q3">
        <v>105.160257353874</v>
      </c>
      <c r="R3">
        <v>32.715686146892502</v>
      </c>
      <c r="S3">
        <v>54.993092323198901</v>
      </c>
      <c r="T3">
        <v>33.506535933438897</v>
      </c>
      <c r="U3">
        <v>180.96480431954799</v>
      </c>
      <c r="V3">
        <v>164.231053670177</v>
      </c>
    </row>
    <row r="4" spans="1:22">
      <c r="A4" t="s">
        <v>28</v>
      </c>
      <c r="B4">
        <v>2022</v>
      </c>
      <c r="C4" t="s">
        <v>23</v>
      </c>
      <c r="D4" t="s">
        <v>32</v>
      </c>
      <c r="E4" t="s">
        <v>30</v>
      </c>
      <c r="F4" t="s">
        <v>30</v>
      </c>
      <c r="G4" t="s">
        <v>31</v>
      </c>
      <c r="H4">
        <v>1.8392250000000001E-3</v>
      </c>
      <c r="I4">
        <v>1058364.0783174699</v>
      </c>
      <c r="J4">
        <v>18015.624963759299</v>
      </c>
      <c r="K4">
        <v>162.65136074704699</v>
      </c>
      <c r="L4">
        <v>558.84729671368996</v>
      </c>
      <c r="M4">
        <v>1635.78502650631</v>
      </c>
      <c r="N4">
        <v>1728.2734107784399</v>
      </c>
      <c r="O4">
        <v>1871.4343332645899</v>
      </c>
      <c r="P4">
        <v>1080.19264689645</v>
      </c>
      <c r="Q4">
        <v>1816.0324649855399</v>
      </c>
      <c r="R4">
        <v>1977.34898671835</v>
      </c>
      <c r="S4">
        <v>1881.3327341776101</v>
      </c>
      <c r="T4">
        <v>2016.59067063168</v>
      </c>
      <c r="U4">
        <v>1448.02824183692</v>
      </c>
      <c r="V4">
        <v>1839.10779050265</v>
      </c>
    </row>
    <row r="5" spans="1:22">
      <c r="A5" t="s">
        <v>28</v>
      </c>
      <c r="B5">
        <v>2022</v>
      </c>
      <c r="C5" t="s">
        <v>23</v>
      </c>
      <c r="D5" t="s">
        <v>33</v>
      </c>
      <c r="E5" t="s">
        <v>30</v>
      </c>
      <c r="F5" t="s">
        <v>30</v>
      </c>
      <c r="G5" t="s">
        <v>31</v>
      </c>
      <c r="H5">
        <v>1.8392250000000001E-3</v>
      </c>
      <c r="I5">
        <v>9795226.2304825541</v>
      </c>
      <c r="J5">
        <v>2505.5535174000001</v>
      </c>
      <c r="K5">
        <v>65.520636749999994</v>
      </c>
      <c r="L5">
        <v>73.893329499999993</v>
      </c>
      <c r="M5">
        <v>195.82783075</v>
      </c>
      <c r="N5">
        <v>207.34409149999999</v>
      </c>
      <c r="O5">
        <v>269.89234875</v>
      </c>
      <c r="P5">
        <v>149.43417214999999</v>
      </c>
      <c r="Q5">
        <v>270.90435050000002</v>
      </c>
      <c r="R5">
        <v>273.4294845</v>
      </c>
      <c r="S5">
        <v>263.2162045</v>
      </c>
      <c r="T5">
        <v>270.53130049999999</v>
      </c>
      <c r="U5">
        <v>192.83783500000001</v>
      </c>
      <c r="V5">
        <v>272.72193299999998</v>
      </c>
    </row>
    <row r="6" spans="1:22">
      <c r="A6" t="s">
        <v>28</v>
      </c>
      <c r="B6">
        <v>2022</v>
      </c>
      <c r="C6" t="s">
        <v>23</v>
      </c>
      <c r="D6" t="s">
        <v>34</v>
      </c>
      <c r="E6" t="s">
        <v>30</v>
      </c>
      <c r="F6" t="s">
        <v>30</v>
      </c>
      <c r="G6" t="s">
        <v>31</v>
      </c>
      <c r="H6">
        <v>1.8392250000000001E-3</v>
      </c>
      <c r="I6">
        <v>1362287.657790645</v>
      </c>
      <c r="J6">
        <v>36.066122483934997</v>
      </c>
      <c r="K6">
        <v>2.8343717208510002</v>
      </c>
      <c r="L6">
        <v>2.7414358705400002</v>
      </c>
      <c r="M6">
        <v>3.5471384002119999</v>
      </c>
      <c r="N6">
        <v>2.7794455144089998</v>
      </c>
      <c r="O6">
        <v>2.9288474547229999</v>
      </c>
      <c r="P6">
        <v>2.8505128024939999</v>
      </c>
      <c r="Q6">
        <v>3.1086260908950001</v>
      </c>
      <c r="R6">
        <v>2.9949073516600002</v>
      </c>
      <c r="S6">
        <v>3.0257161011789999</v>
      </c>
      <c r="T6">
        <v>3.0063733911249999</v>
      </c>
      <c r="U6">
        <v>3.193574487627</v>
      </c>
      <c r="V6">
        <v>3.0551732982200002</v>
      </c>
    </row>
    <row r="7" spans="1:22">
      <c r="A7" t="s">
        <v>35</v>
      </c>
      <c r="B7">
        <v>2022</v>
      </c>
      <c r="C7" t="s">
        <v>23</v>
      </c>
      <c r="D7" t="s">
        <v>36</v>
      </c>
      <c r="E7" t="s">
        <v>30</v>
      </c>
      <c r="F7" t="s">
        <v>30</v>
      </c>
      <c r="G7" t="s">
        <v>31</v>
      </c>
      <c r="H7">
        <v>1.8392250000000001E-3</v>
      </c>
      <c r="I7">
        <v>19609.412923342719</v>
      </c>
      <c r="J7">
        <v>312.69184759396501</v>
      </c>
      <c r="K7">
        <v>22.202216658601099</v>
      </c>
      <c r="L7">
        <v>10.962297579660801</v>
      </c>
      <c r="M7">
        <v>25.3110772316147</v>
      </c>
      <c r="N7">
        <v>26.576631093195299</v>
      </c>
      <c r="O7">
        <v>27.8021674413664</v>
      </c>
      <c r="P7">
        <v>24.983433840572999</v>
      </c>
      <c r="Q7">
        <v>29.9230956520788</v>
      </c>
      <c r="R7">
        <v>29.362850464343399</v>
      </c>
      <c r="S7">
        <v>27.844686049364199</v>
      </c>
      <c r="T7">
        <v>28.745080101081701</v>
      </c>
      <c r="U7">
        <v>26.223976756272702</v>
      </c>
      <c r="V7">
        <v>32.754334725812797</v>
      </c>
    </row>
    <row r="8" spans="1:22">
      <c r="A8" t="s">
        <v>35</v>
      </c>
      <c r="B8">
        <v>2022</v>
      </c>
      <c r="C8" t="s">
        <v>23</v>
      </c>
      <c r="D8" t="s">
        <v>36</v>
      </c>
      <c r="E8" t="s">
        <v>30</v>
      </c>
      <c r="F8" t="s">
        <v>30</v>
      </c>
      <c r="G8" t="s">
        <v>31</v>
      </c>
      <c r="H8">
        <v>1.311E-2</v>
      </c>
      <c r="I8">
        <v>170012.8301833462</v>
      </c>
      <c r="J8">
        <v>5195.145925975</v>
      </c>
      <c r="K8">
        <v>190.347954225</v>
      </c>
      <c r="L8">
        <v>45.102346025000003</v>
      </c>
      <c r="M8">
        <v>481.46836089999999</v>
      </c>
      <c r="N8">
        <v>481.23481087499999</v>
      </c>
      <c r="O8">
        <v>476.239215425</v>
      </c>
      <c r="P8">
        <v>514.97169125000005</v>
      </c>
      <c r="Q8">
        <v>532.14096517500002</v>
      </c>
      <c r="R8">
        <v>569.29525297500004</v>
      </c>
      <c r="S8">
        <v>455.66057537500001</v>
      </c>
      <c r="T8">
        <v>553.21049757499998</v>
      </c>
      <c r="U8">
        <v>447.84146809999999</v>
      </c>
      <c r="V8">
        <v>447.63278807500001</v>
      </c>
    </row>
    <row r="9" spans="1:22">
      <c r="A9" t="s">
        <v>35</v>
      </c>
      <c r="B9">
        <v>2022</v>
      </c>
      <c r="C9" t="s">
        <v>23</v>
      </c>
      <c r="D9" t="s">
        <v>34</v>
      </c>
      <c r="E9" t="s">
        <v>34</v>
      </c>
      <c r="F9" t="s">
        <v>34</v>
      </c>
      <c r="G9" t="s">
        <v>31</v>
      </c>
      <c r="H9">
        <v>1.8392250000000001E-3</v>
      </c>
      <c r="I9">
        <v>396273.52600877191</v>
      </c>
      <c r="J9">
        <v>17126.9491761071</v>
      </c>
      <c r="K9">
        <v>612.65130937170102</v>
      </c>
      <c r="L9">
        <v>1273.32998338926</v>
      </c>
      <c r="M9">
        <v>1310.53696685912</v>
      </c>
      <c r="N9">
        <v>1314.1952322243801</v>
      </c>
      <c r="O9">
        <v>1513.0954289634001</v>
      </c>
      <c r="P9">
        <v>1627.92576643029</v>
      </c>
      <c r="Q9">
        <v>1526.70419664567</v>
      </c>
      <c r="R9">
        <v>1704.6027670906601</v>
      </c>
      <c r="S9">
        <v>1642.09983442884</v>
      </c>
      <c r="T9">
        <v>1559.83005731093</v>
      </c>
      <c r="U9">
        <v>1440.9746457460799</v>
      </c>
      <c r="V9">
        <v>1601.0029876468</v>
      </c>
    </row>
    <row r="10" spans="1:22">
      <c r="A10" t="s">
        <v>37</v>
      </c>
      <c r="B10">
        <v>2022</v>
      </c>
      <c r="C10" t="s">
        <v>23</v>
      </c>
      <c r="D10" t="s">
        <v>38</v>
      </c>
      <c r="E10" t="s">
        <v>30</v>
      </c>
      <c r="F10" t="s">
        <v>30</v>
      </c>
      <c r="G10" t="s">
        <v>31</v>
      </c>
      <c r="H10">
        <v>1.8392250000000001E-3</v>
      </c>
      <c r="I10">
        <v>9312046.7458343171</v>
      </c>
      <c r="J10">
        <v>4986.55746213975</v>
      </c>
      <c r="K10">
        <v>422.01140741346899</v>
      </c>
      <c r="L10">
        <v>503.529261957941</v>
      </c>
      <c r="M10">
        <v>544.15552747552294</v>
      </c>
      <c r="N10">
        <v>495.771058294032</v>
      </c>
      <c r="O10">
        <v>399.51286116192398</v>
      </c>
      <c r="P10">
        <v>361.55188334788801</v>
      </c>
      <c r="Q10">
        <v>395.61963072853899</v>
      </c>
      <c r="R10">
        <v>320.95302091116702</v>
      </c>
      <c r="S10">
        <v>495.002989084798</v>
      </c>
      <c r="T10">
        <v>361.81879647314298</v>
      </c>
      <c r="U10">
        <v>347.712164958892</v>
      </c>
      <c r="V10">
        <v>338.91886033243799</v>
      </c>
    </row>
    <row r="11" spans="1:22">
      <c r="A11" t="s">
        <v>37</v>
      </c>
      <c r="B11">
        <v>2022</v>
      </c>
      <c r="C11" t="s">
        <v>23</v>
      </c>
      <c r="D11" t="s">
        <v>39</v>
      </c>
      <c r="E11" t="s">
        <v>30</v>
      </c>
      <c r="F11" t="s">
        <v>30</v>
      </c>
      <c r="G11" t="s">
        <v>31</v>
      </c>
      <c r="H11">
        <v>1.311E-2</v>
      </c>
      <c r="I11">
        <v>2711227.534499452</v>
      </c>
      <c r="J11">
        <v>91648.148774000001</v>
      </c>
      <c r="K11">
        <v>5975.21</v>
      </c>
      <c r="L11">
        <v>4496.51</v>
      </c>
      <c r="M11">
        <v>8772.27</v>
      </c>
      <c r="N11">
        <v>7840.45</v>
      </c>
      <c r="O11">
        <v>7671.29</v>
      </c>
      <c r="P11">
        <v>7898.99</v>
      </c>
      <c r="Q11">
        <v>8801</v>
      </c>
      <c r="R11">
        <v>8484.5499999999993</v>
      </c>
      <c r="S11">
        <v>7750.7</v>
      </c>
      <c r="T11">
        <v>8344.7550539999993</v>
      </c>
      <c r="U11">
        <v>7875.0637200000001</v>
      </c>
      <c r="V11">
        <v>7737.36</v>
      </c>
    </row>
    <row r="12" spans="1:22">
      <c r="A12" t="s">
        <v>37</v>
      </c>
      <c r="B12">
        <v>2022</v>
      </c>
      <c r="C12" t="s">
        <v>23</v>
      </c>
      <c r="D12" t="s">
        <v>40</v>
      </c>
      <c r="E12" t="s">
        <v>41</v>
      </c>
      <c r="F12" t="s">
        <v>41</v>
      </c>
      <c r="G12" t="s">
        <v>31</v>
      </c>
      <c r="H12">
        <v>1.311E-2</v>
      </c>
      <c r="I12">
        <v>6990705.4747520965</v>
      </c>
      <c r="J12">
        <v>20892.9466775</v>
      </c>
      <c r="K12">
        <v>1165.78404</v>
      </c>
      <c r="L12">
        <v>786.22125249999999</v>
      </c>
      <c r="M12">
        <v>1941.8210875</v>
      </c>
      <c r="N12">
        <v>1835.9515375000001</v>
      </c>
      <c r="O12">
        <v>1876.1271925000001</v>
      </c>
      <c r="P12">
        <v>1834.6157499999999</v>
      </c>
      <c r="Q12">
        <v>2063.8686575000002</v>
      </c>
      <c r="R12">
        <v>2031.6392599999999</v>
      </c>
      <c r="S12">
        <v>1745.5010474999999</v>
      </c>
      <c r="T12">
        <v>1978.5317500000001</v>
      </c>
      <c r="U12">
        <v>1854.9362775</v>
      </c>
      <c r="V12">
        <v>1777.9488249999999</v>
      </c>
    </row>
    <row r="13" spans="1:22">
      <c r="A13" t="s">
        <v>37</v>
      </c>
      <c r="B13">
        <v>2022</v>
      </c>
      <c r="C13" t="s">
        <v>23</v>
      </c>
      <c r="D13" t="s">
        <v>34</v>
      </c>
      <c r="E13" t="s">
        <v>34</v>
      </c>
      <c r="F13" t="s">
        <v>34</v>
      </c>
      <c r="G13" t="s">
        <v>31</v>
      </c>
      <c r="H13">
        <v>1.8392250000000001E-3</v>
      </c>
      <c r="I13">
        <v>1593664.887681159</v>
      </c>
      <c r="J13">
        <v>96.296032755903795</v>
      </c>
      <c r="K13">
        <v>8.4489759270505491</v>
      </c>
      <c r="L13">
        <v>7.5750976781313302</v>
      </c>
      <c r="M13">
        <v>8.3865560521277391</v>
      </c>
      <c r="N13">
        <v>8.1747743336396699</v>
      </c>
      <c r="O13">
        <v>8.4378295208143292</v>
      </c>
      <c r="P13">
        <v>8.1658572086506993</v>
      </c>
      <c r="Q13">
        <v>8.4356002395670906</v>
      </c>
      <c r="R13">
        <v>8.4445173645560594</v>
      </c>
      <c r="S13">
        <v>8.1613986461562096</v>
      </c>
      <c r="T13">
        <v>7.4725507407581597</v>
      </c>
      <c r="U13">
        <v>7.1715977723803697</v>
      </c>
      <c r="V13">
        <v>7.4212772720715696</v>
      </c>
    </row>
    <row r="14" spans="1:22">
      <c r="A14" t="s">
        <v>42</v>
      </c>
      <c r="B14">
        <v>2022</v>
      </c>
      <c r="C14" t="s">
        <v>23</v>
      </c>
      <c r="D14" t="s">
        <v>43</v>
      </c>
      <c r="E14" t="s">
        <v>30</v>
      </c>
      <c r="F14" t="s">
        <v>30</v>
      </c>
      <c r="G14" t="s">
        <v>31</v>
      </c>
      <c r="H14">
        <v>1.8392250000000001E-3</v>
      </c>
      <c r="I14">
        <v>52356.85288961589</v>
      </c>
      <c r="J14">
        <v>112.788255423007</v>
      </c>
      <c r="K14">
        <v>9.5123430819853994</v>
      </c>
      <c r="L14">
        <v>8.6362355518189506</v>
      </c>
      <c r="M14">
        <v>9.5747629569082005</v>
      </c>
      <c r="N14">
        <v>9.2760392697776606</v>
      </c>
      <c r="O14">
        <v>9.5992850506278806</v>
      </c>
      <c r="P14">
        <v>9.2871856760138698</v>
      </c>
      <c r="Q14">
        <v>9.5992850506278806</v>
      </c>
      <c r="R14">
        <v>9.6015143318751193</v>
      </c>
      <c r="S14">
        <v>9.2804978322721396</v>
      </c>
      <c r="T14">
        <v>9.5859093631444203</v>
      </c>
      <c r="U14">
        <v>9.2648928635414407</v>
      </c>
      <c r="V14">
        <v>9.5703043944137196</v>
      </c>
    </row>
    <row r="15" spans="1:22">
      <c r="A15" t="s">
        <v>42</v>
      </c>
      <c r="B15">
        <v>2022</v>
      </c>
      <c r="C15" t="s">
        <v>23</v>
      </c>
      <c r="D15" t="s">
        <v>44</v>
      </c>
      <c r="E15" t="s">
        <v>30</v>
      </c>
      <c r="F15" t="s">
        <v>30</v>
      </c>
      <c r="G15" t="s">
        <v>31</v>
      </c>
      <c r="H15">
        <v>1.8392250000000001E-3</v>
      </c>
      <c r="I15">
        <v>61323.794219307973</v>
      </c>
      <c r="J15">
        <v>205.46839399588299</v>
      </c>
      <c r="K15">
        <v>17.305910322346499</v>
      </c>
      <c r="L15">
        <v>15.691910699342699</v>
      </c>
      <c r="M15">
        <v>17.4329793534394</v>
      </c>
      <c r="N15">
        <v>16.911327541584502</v>
      </c>
      <c r="O15">
        <v>17.484252822125999</v>
      </c>
      <c r="P15">
        <v>16.8934932916066</v>
      </c>
      <c r="Q15">
        <v>17.466418572148001</v>
      </c>
      <c r="R15">
        <v>17.473106415889799</v>
      </c>
      <c r="S15">
        <v>16.889034729112101</v>
      </c>
      <c r="T15">
        <v>17.495399228362199</v>
      </c>
      <c r="U15">
        <v>16.922473947820801</v>
      </c>
      <c r="V15">
        <v>17.502087072103901</v>
      </c>
    </row>
    <row r="16" spans="1:22">
      <c r="A16" t="s">
        <v>42</v>
      </c>
      <c r="B16">
        <v>2022</v>
      </c>
      <c r="C16" t="s">
        <v>23</v>
      </c>
      <c r="D16" t="s">
        <v>45</v>
      </c>
      <c r="E16" t="s">
        <v>30</v>
      </c>
      <c r="F16" t="s">
        <v>30</v>
      </c>
      <c r="G16" t="s">
        <v>31</v>
      </c>
      <c r="H16">
        <v>5.0351584999999997E-2</v>
      </c>
      <c r="I16">
        <v>111714.6591612677</v>
      </c>
      <c r="J16">
        <v>25104.207712006501</v>
      </c>
      <c r="K16">
        <v>2035.68005145077</v>
      </c>
      <c r="L16">
        <v>1596.88501344414</v>
      </c>
      <c r="M16">
        <v>2035.36644607263</v>
      </c>
      <c r="N16">
        <v>2269.7607687989298</v>
      </c>
      <c r="O16">
        <v>2013.00245119888</v>
      </c>
      <c r="P16">
        <v>2108.1272986731201</v>
      </c>
      <c r="Q16">
        <v>2190.07796667199</v>
      </c>
      <c r="R16">
        <v>2217.4691325860399</v>
      </c>
      <c r="S16">
        <v>2047.38221325215</v>
      </c>
      <c r="T16">
        <v>2264.0314050686702</v>
      </c>
      <c r="U16">
        <v>2141.34196877358</v>
      </c>
      <c r="V16">
        <v>2185.0829960155702</v>
      </c>
    </row>
    <row r="17" spans="1:22">
      <c r="A17" t="s">
        <v>42</v>
      </c>
      <c r="B17">
        <v>2022</v>
      </c>
      <c r="C17" t="s">
        <v>23</v>
      </c>
      <c r="D17" t="s">
        <v>46</v>
      </c>
      <c r="E17" t="s">
        <v>25</v>
      </c>
      <c r="F17" t="s">
        <v>26</v>
      </c>
      <c r="G17" t="s">
        <v>27</v>
      </c>
      <c r="H17">
        <v>5.0351584999999997E-2</v>
      </c>
      <c r="I17">
        <v>498578.30119958433</v>
      </c>
      <c r="J17">
        <v>22269.2520584583</v>
      </c>
      <c r="K17">
        <v>1903.63745202165</v>
      </c>
      <c r="L17">
        <v>1809.58242391368</v>
      </c>
      <c r="M17">
        <v>2208.46235311791</v>
      </c>
      <c r="N17">
        <v>2176.8432695220799</v>
      </c>
      <c r="O17">
        <v>1919.8181234353201</v>
      </c>
      <c r="P17">
        <v>1808.8362219569899</v>
      </c>
      <c r="Q17">
        <v>0</v>
      </c>
      <c r="R17">
        <v>1327.59625570244</v>
      </c>
      <c r="S17">
        <v>2206.9699763897002</v>
      </c>
      <c r="T17">
        <v>2370.3206594272101</v>
      </c>
      <c r="U17">
        <v>2056.7719632272001</v>
      </c>
      <c r="V17">
        <v>2480.4133597441501</v>
      </c>
    </row>
    <row r="18" spans="1:22">
      <c r="A18" t="s">
        <v>42</v>
      </c>
      <c r="B18">
        <v>2022</v>
      </c>
      <c r="C18" t="s">
        <v>23</v>
      </c>
      <c r="D18" t="s">
        <v>46</v>
      </c>
      <c r="E18" t="s">
        <v>25</v>
      </c>
      <c r="F18" t="s">
        <v>26</v>
      </c>
      <c r="G18" t="s">
        <v>27</v>
      </c>
      <c r="H18">
        <v>5.0351584999999997E-2</v>
      </c>
      <c r="I18">
        <v>442275.09538097627</v>
      </c>
      <c r="J18">
        <v>22446.2913894308</v>
      </c>
      <c r="K18">
        <v>2043.4597331232501</v>
      </c>
      <c r="L18">
        <v>1871.8795224120499</v>
      </c>
      <c r="M18">
        <v>984.08685486981301</v>
      </c>
      <c r="N18">
        <v>815.56400987969801</v>
      </c>
      <c r="O18">
        <v>2325.69370639716</v>
      </c>
      <c r="P18">
        <v>2274.7364379915398</v>
      </c>
      <c r="Q18">
        <v>2335.1379766496202</v>
      </c>
      <c r="R18">
        <v>2286.4863799044701</v>
      </c>
      <c r="S18">
        <v>1515.5431097548901</v>
      </c>
      <c r="T18">
        <v>1497.74650856731</v>
      </c>
      <c r="U18">
        <v>2205.78152887645</v>
      </c>
      <c r="V18">
        <v>2290.1756210045501</v>
      </c>
    </row>
    <row r="19" spans="1:22">
      <c r="A19" t="s">
        <v>42</v>
      </c>
      <c r="B19">
        <v>2022</v>
      </c>
      <c r="C19" t="s">
        <v>23</v>
      </c>
      <c r="D19" t="s">
        <v>46</v>
      </c>
      <c r="E19" t="s">
        <v>25</v>
      </c>
      <c r="F19" t="s">
        <v>26</v>
      </c>
      <c r="G19" t="s">
        <v>27</v>
      </c>
      <c r="H19">
        <v>5.0351584999999997E-2</v>
      </c>
      <c r="I19">
        <v>445791.15810218878</v>
      </c>
      <c r="J19">
        <v>20567.116774359401</v>
      </c>
      <c r="K19">
        <v>2155.4539687540801</v>
      </c>
      <c r="L19">
        <v>173.71500443431799</v>
      </c>
      <c r="M19">
        <v>1503.76785056529</v>
      </c>
      <c r="N19">
        <v>2331.7495244400202</v>
      </c>
      <c r="O19">
        <v>2403.0829298752701</v>
      </c>
      <c r="P19">
        <v>1931.0730016560799</v>
      </c>
      <c r="Q19">
        <v>2049.7867257706798</v>
      </c>
      <c r="R19">
        <v>23.3166217588923</v>
      </c>
      <c r="S19">
        <v>1394.3462615307001</v>
      </c>
      <c r="T19">
        <v>2347.3405865587902</v>
      </c>
      <c r="U19">
        <v>1947.2711715435601</v>
      </c>
      <c r="V19">
        <v>2306.2131274717299</v>
      </c>
    </row>
    <row r="20" spans="1:22">
      <c r="A20" t="s">
        <v>42</v>
      </c>
      <c r="B20">
        <v>2022</v>
      </c>
      <c r="C20" t="s">
        <v>23</v>
      </c>
      <c r="D20" t="s">
        <v>46</v>
      </c>
      <c r="E20" t="s">
        <v>25</v>
      </c>
      <c r="F20" t="s">
        <v>26</v>
      </c>
      <c r="G20" t="s">
        <v>27</v>
      </c>
      <c r="H20">
        <v>5.0351584999999997E-2</v>
      </c>
      <c r="I20">
        <v>408470.09631095821</v>
      </c>
      <c r="J20">
        <v>23713.2707108209</v>
      </c>
      <c r="K20">
        <v>2149.4680604201699</v>
      </c>
      <c r="L20">
        <v>1801.08058862808</v>
      </c>
      <c r="M20">
        <v>2220.1897813334199</v>
      </c>
      <c r="N20">
        <v>2089.8064763935599</v>
      </c>
      <c r="O20">
        <v>2358.50452866454</v>
      </c>
      <c r="P20">
        <v>2300.7150910396899</v>
      </c>
      <c r="Q20">
        <v>2224.0267132707099</v>
      </c>
      <c r="R20">
        <v>2405.6100562360498</v>
      </c>
      <c r="S20">
        <v>2307.71183395759</v>
      </c>
      <c r="T20">
        <v>2112.14710781441</v>
      </c>
      <c r="U20">
        <v>1316.96074137298</v>
      </c>
      <c r="V20">
        <v>427.049731689694</v>
      </c>
    </row>
    <row r="21" spans="1:22">
      <c r="A21" t="s">
        <v>42</v>
      </c>
      <c r="B21">
        <v>2022</v>
      </c>
      <c r="C21" t="s">
        <v>23</v>
      </c>
      <c r="D21" t="s">
        <v>46</v>
      </c>
      <c r="E21" t="s">
        <v>25</v>
      </c>
      <c r="F21" t="s">
        <v>26</v>
      </c>
      <c r="G21" t="s">
        <v>27</v>
      </c>
      <c r="H21">
        <v>5.0351584999999997E-2</v>
      </c>
      <c r="I21">
        <v>470953.80832243722</v>
      </c>
      <c r="J21">
        <v>23274.239402990901</v>
      </c>
      <c r="K21">
        <v>2311.38067829499</v>
      </c>
      <c r="L21">
        <v>1633.7289164726701</v>
      </c>
      <c r="M21">
        <v>2136.68036359906</v>
      </c>
      <c r="N21">
        <v>1885.32019713668</v>
      </c>
      <c r="O21">
        <v>1236.6679366962301</v>
      </c>
      <c r="P21">
        <v>731.58319725680599</v>
      </c>
      <c r="Q21">
        <v>2158.0689215983198</v>
      </c>
      <c r="R21">
        <v>2284.6497425836701</v>
      </c>
      <c r="S21">
        <v>1973.8926992619399</v>
      </c>
      <c r="T21">
        <v>2376.1067708641299</v>
      </c>
      <c r="U21">
        <v>2221.7505804792299</v>
      </c>
      <c r="V21">
        <v>2324.4093987471301</v>
      </c>
    </row>
    <row r="22" spans="1:22">
      <c r="A22" t="s">
        <v>42</v>
      </c>
      <c r="B22">
        <v>2022</v>
      </c>
      <c r="C22" t="s">
        <v>23</v>
      </c>
      <c r="D22" t="s">
        <v>46</v>
      </c>
      <c r="E22" t="s">
        <v>25</v>
      </c>
      <c r="F22" t="s">
        <v>26</v>
      </c>
      <c r="G22" t="s">
        <v>27</v>
      </c>
      <c r="H22">
        <v>5.0351584999999997E-2</v>
      </c>
      <c r="I22">
        <v>462234.49376997491</v>
      </c>
      <c r="J22">
        <v>24057.758346758001</v>
      </c>
      <c r="K22">
        <v>1035.48161581366</v>
      </c>
      <c r="L22">
        <v>1902.8910702921301</v>
      </c>
      <c r="M22">
        <v>2350.1504456019902</v>
      </c>
      <c r="N22">
        <v>2161.56499196499</v>
      </c>
      <c r="O22">
        <v>2001.2123348807099</v>
      </c>
      <c r="P22">
        <v>2291.3442207199801</v>
      </c>
      <c r="Q22">
        <v>2102.2080185362202</v>
      </c>
      <c r="R22">
        <v>2448.69024555545</v>
      </c>
      <c r="S22">
        <v>2381.0846367930899</v>
      </c>
      <c r="T22">
        <v>1281.26418978786</v>
      </c>
      <c r="U22">
        <v>1613.1691393006599</v>
      </c>
      <c r="V22">
        <v>2488.69743751122</v>
      </c>
    </row>
    <row r="23" spans="1:22">
      <c r="A23" t="s">
        <v>42</v>
      </c>
      <c r="B23">
        <v>2022</v>
      </c>
      <c r="C23" t="s">
        <v>23</v>
      </c>
      <c r="D23" t="s">
        <v>46</v>
      </c>
      <c r="E23" t="s">
        <v>25</v>
      </c>
      <c r="F23" t="s">
        <v>26</v>
      </c>
      <c r="G23" t="s">
        <v>27</v>
      </c>
      <c r="H23">
        <v>1.8392250000000001E-3</v>
      </c>
      <c r="I23">
        <v>477795.45265075489</v>
      </c>
      <c r="J23">
        <v>40780.328084816101</v>
      </c>
      <c r="K23">
        <v>4341.7816886178098</v>
      </c>
      <c r="L23">
        <v>1470.93789708089</v>
      </c>
      <c r="M23">
        <v>26325.555908334602</v>
      </c>
      <c r="N23">
        <v>1074.7853591278399</v>
      </c>
      <c r="O23">
        <v>140.41566245941399</v>
      </c>
      <c r="P23">
        <v>19.9370692011627</v>
      </c>
      <c r="Q23">
        <v>1294.6852434789</v>
      </c>
      <c r="R23">
        <v>984.610914091322</v>
      </c>
      <c r="S23">
        <v>1051.1884519016101</v>
      </c>
      <c r="T23">
        <v>17.012768754287801</v>
      </c>
      <c r="U23">
        <v>3977.2486493505999</v>
      </c>
      <c r="V23">
        <v>82.168472417598196</v>
      </c>
    </row>
    <row r="24" spans="1:22">
      <c r="A24" t="s">
        <v>42</v>
      </c>
      <c r="B24">
        <v>2022</v>
      </c>
      <c r="C24" t="s">
        <v>23</v>
      </c>
      <c r="D24" t="s">
        <v>47</v>
      </c>
      <c r="E24" t="s">
        <v>30</v>
      </c>
      <c r="F24" t="s">
        <v>30</v>
      </c>
      <c r="G24" t="s">
        <v>31</v>
      </c>
      <c r="H24">
        <v>1.8392250000000001E-3</v>
      </c>
      <c r="I24">
        <v>22172560.771420609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</row>
    <row r="25" spans="1:22">
      <c r="A25" t="s">
        <v>42</v>
      </c>
      <c r="B25">
        <v>2022</v>
      </c>
      <c r="C25" t="s">
        <v>23</v>
      </c>
      <c r="D25" t="s">
        <v>48</v>
      </c>
      <c r="E25" t="s">
        <v>30</v>
      </c>
      <c r="F25" t="s">
        <v>30</v>
      </c>
      <c r="G25" t="s">
        <v>31</v>
      </c>
      <c r="H25">
        <v>1.8392250000000001E-3</v>
      </c>
      <c r="I25">
        <v>0</v>
      </c>
      <c r="J25">
        <v>15713.0760873779</v>
      </c>
      <c r="K25">
        <v>1205.90948753257</v>
      </c>
      <c r="L25">
        <v>855.79847790002998</v>
      </c>
      <c r="M25">
        <v>1230.4076567408999</v>
      </c>
      <c r="N25">
        <v>1260.05482852555</v>
      </c>
      <c r="O25">
        <v>1460.09434827158</v>
      </c>
      <c r="P25">
        <v>1582.2984972340901</v>
      </c>
      <c r="Q25">
        <v>1238.5794855680999</v>
      </c>
      <c r="R25">
        <v>1262.0694046456499</v>
      </c>
      <c r="S25">
        <v>1429.41006423409</v>
      </c>
      <c r="T25">
        <v>1462.3398213681901</v>
      </c>
      <c r="U25">
        <v>1295.82269432933</v>
      </c>
      <c r="V25">
        <v>1430.29132102779</v>
      </c>
    </row>
    <row r="26" spans="1:22">
      <c r="A26" t="s">
        <v>42</v>
      </c>
      <c r="B26">
        <v>2022</v>
      </c>
      <c r="C26" t="s">
        <v>23</v>
      </c>
      <c r="D26" t="s">
        <v>49</v>
      </c>
      <c r="E26" t="s">
        <v>30</v>
      </c>
      <c r="F26" t="s">
        <v>30</v>
      </c>
      <c r="G26" t="s">
        <v>31</v>
      </c>
      <c r="H26">
        <v>1.8392250000000001E-3</v>
      </c>
      <c r="I26">
        <v>8543313.6714528501</v>
      </c>
      <c r="J26">
        <v>84.401943835849195</v>
      </c>
      <c r="K26">
        <v>7.6841071219794896</v>
      </c>
      <c r="L26">
        <v>6.8110093193946204</v>
      </c>
      <c r="M26">
        <v>7.4309162279878098</v>
      </c>
      <c r="N26">
        <v>7.1209627736912102</v>
      </c>
      <c r="O26">
        <v>7.2277660121596803</v>
      </c>
      <c r="P26">
        <v>6.6100997309469403</v>
      </c>
      <c r="Q26">
        <v>6.6663643740562097</v>
      </c>
      <c r="R26">
        <v>6.7243717273502703</v>
      </c>
      <c r="S26">
        <v>6.6486883136103803</v>
      </c>
      <c r="T26">
        <v>6.4174057762276098</v>
      </c>
      <c r="U26">
        <v>7.1533273914089301</v>
      </c>
      <c r="V26">
        <v>7.90692506703608</v>
      </c>
    </row>
    <row r="27" spans="1:22">
      <c r="A27" t="s">
        <v>42</v>
      </c>
      <c r="B27">
        <v>2022</v>
      </c>
      <c r="C27" t="s">
        <v>23</v>
      </c>
      <c r="D27" t="s">
        <v>50</v>
      </c>
      <c r="E27" t="s">
        <v>30</v>
      </c>
      <c r="F27" t="s">
        <v>30</v>
      </c>
      <c r="G27" t="s">
        <v>31</v>
      </c>
      <c r="H27">
        <v>1.8392250000000001E-3</v>
      </c>
      <c r="I27">
        <v>45889.950297461823</v>
      </c>
      <c r="J27">
        <v>41.768251807374497</v>
      </c>
      <c r="K27">
        <v>0</v>
      </c>
      <c r="L27">
        <v>8.0871592103527803E-2</v>
      </c>
      <c r="M27">
        <v>0</v>
      </c>
      <c r="N27">
        <v>0.14248804323002501</v>
      </c>
      <c r="O27">
        <v>0</v>
      </c>
      <c r="P27">
        <v>19.201226582294801</v>
      </c>
      <c r="Q27">
        <v>4.62893589087812</v>
      </c>
      <c r="R27">
        <v>17.714729698867998</v>
      </c>
      <c r="S27">
        <v>0</v>
      </c>
      <c r="T27">
        <v>0</v>
      </c>
      <c r="U27">
        <v>0</v>
      </c>
      <c r="V27">
        <v>0</v>
      </c>
    </row>
    <row r="28" spans="1:22">
      <c r="A28" t="s">
        <v>42</v>
      </c>
      <c r="B28">
        <v>2022</v>
      </c>
      <c r="C28" t="s">
        <v>23</v>
      </c>
      <c r="D28" t="s">
        <v>51</v>
      </c>
      <c r="E28" t="s">
        <v>30</v>
      </c>
      <c r="F28" t="s">
        <v>30</v>
      </c>
      <c r="G28" t="s">
        <v>31</v>
      </c>
      <c r="H28">
        <v>1.8392250000000001E-3</v>
      </c>
      <c r="I28">
        <v>22709.702079612041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</row>
    <row r="29" spans="1:22">
      <c r="A29" t="s">
        <v>42</v>
      </c>
      <c r="B29">
        <v>2022</v>
      </c>
      <c r="C29" t="s">
        <v>23</v>
      </c>
      <c r="D29" t="s">
        <v>52</v>
      </c>
      <c r="E29" t="s">
        <v>30</v>
      </c>
      <c r="F29" t="s">
        <v>30</v>
      </c>
      <c r="G29" t="s">
        <v>31</v>
      </c>
      <c r="H29">
        <v>1.8392250000000001E-3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</row>
    <row r="30" spans="1:22">
      <c r="A30" t="s">
        <v>42</v>
      </c>
      <c r="B30">
        <v>2022</v>
      </c>
      <c r="C30" t="s">
        <v>23</v>
      </c>
      <c r="D30" t="s">
        <v>53</v>
      </c>
      <c r="E30" t="s">
        <v>30</v>
      </c>
      <c r="F30" t="s">
        <v>30</v>
      </c>
      <c r="G30" t="s">
        <v>31</v>
      </c>
      <c r="H30">
        <v>1.8392250000000001E-3</v>
      </c>
      <c r="I30">
        <v>0</v>
      </c>
      <c r="J30">
        <v>42181.077605956598</v>
      </c>
      <c r="K30">
        <v>3675.41153376685</v>
      </c>
      <c r="L30">
        <v>3275.8217873235599</v>
      </c>
      <c r="M30">
        <v>3598.2650269247702</v>
      </c>
      <c r="N30">
        <v>3466.67724274376</v>
      </c>
      <c r="O30">
        <v>3574.7416512038599</v>
      </c>
      <c r="P30">
        <v>3453.6916794785702</v>
      </c>
      <c r="Q30">
        <v>3561.72041943871</v>
      </c>
      <c r="R30">
        <v>3566.0920399645602</v>
      </c>
      <c r="S30">
        <v>3447.2824958927399</v>
      </c>
      <c r="T30">
        <v>3559.3573813166399</v>
      </c>
      <c r="U30">
        <v>3440.51216874487</v>
      </c>
      <c r="V30">
        <v>3561.5041791577301</v>
      </c>
    </row>
    <row r="31" spans="1:22">
      <c r="A31" t="s">
        <v>42</v>
      </c>
      <c r="B31">
        <v>2022</v>
      </c>
      <c r="C31" t="s">
        <v>23</v>
      </c>
      <c r="D31" t="s">
        <v>54</v>
      </c>
      <c r="E31" t="s">
        <v>30</v>
      </c>
      <c r="F31" t="s">
        <v>30</v>
      </c>
      <c r="G31" t="s">
        <v>31</v>
      </c>
      <c r="H31">
        <v>1.311E-2</v>
      </c>
      <c r="I31">
        <v>22934158.466721918</v>
      </c>
      <c r="J31">
        <v>15105.706399999999</v>
      </c>
      <c r="K31">
        <v>1192.8480999999999</v>
      </c>
      <c r="L31">
        <v>911.962175</v>
      </c>
      <c r="M31">
        <v>1201.51115</v>
      </c>
      <c r="N31">
        <v>1268.6394250000001</v>
      </c>
      <c r="O31">
        <v>1332.6796750000001</v>
      </c>
      <c r="P31">
        <v>1290.04835</v>
      </c>
      <c r="Q31">
        <v>1232.9717000000001</v>
      </c>
      <c r="R31">
        <v>1270.8984499999999</v>
      </c>
      <c r="S31">
        <v>1317.674775</v>
      </c>
      <c r="T31">
        <v>1385.694225</v>
      </c>
      <c r="U31">
        <v>1301.1776749999999</v>
      </c>
      <c r="V31">
        <v>1399.6007</v>
      </c>
    </row>
    <row r="32" spans="1:22">
      <c r="A32" t="s">
        <v>42</v>
      </c>
      <c r="B32">
        <v>2022</v>
      </c>
      <c r="C32" t="s">
        <v>23</v>
      </c>
      <c r="D32" t="s">
        <v>34</v>
      </c>
      <c r="E32" t="s">
        <v>34</v>
      </c>
      <c r="F32" t="s">
        <v>34</v>
      </c>
      <c r="G32" t="s">
        <v>31</v>
      </c>
      <c r="H32">
        <v>5.0351584999999997E-2</v>
      </c>
      <c r="I32">
        <v>1152227.795575896</v>
      </c>
      <c r="J32">
        <v>3601.71279104112</v>
      </c>
      <c r="K32">
        <v>215.15604812131701</v>
      </c>
      <c r="L32">
        <v>5.5252863875512501</v>
      </c>
      <c r="M32">
        <v>468.24685875186498</v>
      </c>
      <c r="N32">
        <v>333.79837055229302</v>
      </c>
      <c r="O32">
        <v>335.11783863221098</v>
      </c>
      <c r="P32">
        <v>337.48188744911801</v>
      </c>
      <c r="Q32">
        <v>338.93881024281501</v>
      </c>
      <c r="R32">
        <v>319.44914966201998</v>
      </c>
      <c r="S32">
        <v>326.87115209040599</v>
      </c>
      <c r="T32">
        <v>305.12740204680102</v>
      </c>
      <c r="U32">
        <v>292.67489719736301</v>
      </c>
      <c r="V32">
        <v>323.32508990735897</v>
      </c>
    </row>
    <row r="33" spans="1:22">
      <c r="A33" t="s">
        <v>55</v>
      </c>
      <c r="B33">
        <v>2022</v>
      </c>
      <c r="C33" t="s">
        <v>23</v>
      </c>
      <c r="D33" t="s">
        <v>56</v>
      </c>
      <c r="E33" t="s">
        <v>25</v>
      </c>
      <c r="F33" t="s">
        <v>26</v>
      </c>
      <c r="G33" t="s">
        <v>27</v>
      </c>
      <c r="H33">
        <v>0.77400000000000002</v>
      </c>
      <c r="I33">
        <v>71531.26939382586</v>
      </c>
      <c r="J33">
        <v>99424.193108689797</v>
      </c>
      <c r="K33">
        <v>6860.7914555560901</v>
      </c>
      <c r="L33">
        <v>6087.5926295240797</v>
      </c>
      <c r="M33">
        <v>8780.6334481759604</v>
      </c>
      <c r="N33">
        <v>8615.8153194649094</v>
      </c>
      <c r="O33">
        <v>8788.8370590436207</v>
      </c>
      <c r="P33">
        <v>8470.4445289645591</v>
      </c>
      <c r="Q33">
        <v>8756.8048610119495</v>
      </c>
      <c r="R33">
        <v>8750.0749519021701</v>
      </c>
      <c r="S33">
        <v>8400.3437681104406</v>
      </c>
      <c r="T33">
        <v>8757.9786683702005</v>
      </c>
      <c r="U33">
        <v>8440.2150496502109</v>
      </c>
      <c r="V33">
        <v>8714.6613689156002</v>
      </c>
    </row>
    <row r="34" spans="1:22">
      <c r="A34" t="s">
        <v>55</v>
      </c>
      <c r="B34">
        <v>2022</v>
      </c>
      <c r="C34" t="s">
        <v>57</v>
      </c>
      <c r="D34" t="s">
        <v>58</v>
      </c>
      <c r="E34" t="s">
        <v>59</v>
      </c>
      <c r="F34" t="s">
        <v>60</v>
      </c>
      <c r="G34" t="s">
        <v>61</v>
      </c>
      <c r="H34">
        <v>8.4570000000000006E-2</v>
      </c>
      <c r="I34">
        <v>128455.0298561883</v>
      </c>
      <c r="J34">
        <v>575196.17397</v>
      </c>
      <c r="K34">
        <v>41653.177530000001</v>
      </c>
      <c r="L34">
        <v>39398.033909999998</v>
      </c>
      <c r="M34">
        <v>52310.942640000001</v>
      </c>
      <c r="N34">
        <v>48364.991009999998</v>
      </c>
      <c r="O34">
        <v>49155.974219999996</v>
      </c>
      <c r="P34">
        <v>48252.343769999999</v>
      </c>
      <c r="Q34">
        <v>48892.623240000001</v>
      </c>
      <c r="R34">
        <v>48766.698510000002</v>
      </c>
      <c r="S34">
        <v>46974.321929999998</v>
      </c>
      <c r="T34">
        <v>49221.008549999999</v>
      </c>
      <c r="U34">
        <v>53295.929429999997</v>
      </c>
      <c r="V34">
        <v>48910.129229999999</v>
      </c>
    </row>
    <row r="35" spans="1:22">
      <c r="A35" t="s">
        <v>55</v>
      </c>
      <c r="B35">
        <v>2022</v>
      </c>
      <c r="C35" t="s">
        <v>57</v>
      </c>
      <c r="D35" t="s">
        <v>62</v>
      </c>
      <c r="E35" t="s">
        <v>63</v>
      </c>
      <c r="F35" t="s">
        <v>64</v>
      </c>
      <c r="G35" t="s">
        <v>65</v>
      </c>
      <c r="H35">
        <v>5.0351584999999997E-2</v>
      </c>
      <c r="I35">
        <v>6801421</v>
      </c>
      <c r="J35">
        <v>5445.7956118198599</v>
      </c>
      <c r="K35">
        <v>285.41066360312902</v>
      </c>
      <c r="L35">
        <v>1.2583235669877399</v>
      </c>
      <c r="M35">
        <v>234.93472960918899</v>
      </c>
      <c r="N35">
        <v>587.63710578327505</v>
      </c>
      <c r="O35">
        <v>732.71609340438499</v>
      </c>
      <c r="P35">
        <v>476.389863156405</v>
      </c>
      <c r="Q35">
        <v>534.87331075844804</v>
      </c>
      <c r="R35">
        <v>381.75821126634901</v>
      </c>
      <c r="S35">
        <v>474.81695869766997</v>
      </c>
      <c r="T35">
        <v>503.95858857859099</v>
      </c>
      <c r="U35">
        <v>547.71393079430095</v>
      </c>
      <c r="V35">
        <v>684.32783260112899</v>
      </c>
    </row>
    <row r="36" spans="1:22">
      <c r="A36" t="s">
        <v>55</v>
      </c>
      <c r="B36">
        <v>2022</v>
      </c>
      <c r="C36" t="s">
        <v>23</v>
      </c>
      <c r="D36" t="s">
        <v>66</v>
      </c>
      <c r="E36" t="s">
        <v>25</v>
      </c>
      <c r="F36" t="s">
        <v>26</v>
      </c>
      <c r="G36" t="s">
        <v>27</v>
      </c>
      <c r="H36">
        <v>5.0351584999999997E-2</v>
      </c>
      <c r="I36">
        <v>108155.3959387745</v>
      </c>
      <c r="J36">
        <v>2823.1290276730001</v>
      </c>
      <c r="K36">
        <v>90.515029258097698</v>
      </c>
      <c r="L36">
        <v>19.800743112893901</v>
      </c>
      <c r="M36">
        <v>202.98547911604601</v>
      </c>
      <c r="N36">
        <v>45.4339752853083</v>
      </c>
      <c r="O36">
        <v>423.72847269356203</v>
      </c>
      <c r="P36">
        <v>55.798716989806202</v>
      </c>
      <c r="Q36">
        <v>220.947316442659</v>
      </c>
      <c r="R36">
        <v>216.22931573846</v>
      </c>
      <c r="S36">
        <v>324.594733487638</v>
      </c>
      <c r="T36">
        <v>459.09490316912502</v>
      </c>
      <c r="U36">
        <v>302.880785364774</v>
      </c>
      <c r="V36">
        <v>461.11955701462699</v>
      </c>
    </row>
    <row r="37" spans="1:22">
      <c r="A37" t="s">
        <v>55</v>
      </c>
      <c r="B37">
        <v>2022</v>
      </c>
      <c r="C37" t="s">
        <v>23</v>
      </c>
      <c r="D37" t="s">
        <v>67</v>
      </c>
      <c r="E37" t="s">
        <v>25</v>
      </c>
      <c r="F37" t="s">
        <v>26</v>
      </c>
      <c r="G37" t="s">
        <v>27</v>
      </c>
      <c r="H37">
        <v>5.0351584999999997E-2</v>
      </c>
      <c r="I37">
        <v>56068.324913168013</v>
      </c>
      <c r="J37">
        <v>413.46883596991103</v>
      </c>
      <c r="K37">
        <v>105.292650752225</v>
      </c>
      <c r="L37">
        <v>1.0550365806836199E-2</v>
      </c>
      <c r="M37">
        <v>19.117262841987198</v>
      </c>
      <c r="N37">
        <v>73.483297844614</v>
      </c>
      <c r="O37">
        <v>103.256430151506</v>
      </c>
      <c r="P37">
        <v>46.168400770715202</v>
      </c>
      <c r="Q37">
        <v>5.1380281479292202</v>
      </c>
      <c r="R37">
        <v>11.236139584280499</v>
      </c>
      <c r="S37">
        <v>9.2526708125953299</v>
      </c>
      <c r="T37">
        <v>7.3430546015579798</v>
      </c>
      <c r="U37">
        <v>17.165445167722499</v>
      </c>
      <c r="V37">
        <v>16.0049049289705</v>
      </c>
    </row>
    <row r="38" spans="1:22">
      <c r="A38" t="s">
        <v>55</v>
      </c>
      <c r="B38">
        <v>2022</v>
      </c>
      <c r="C38" t="s">
        <v>23</v>
      </c>
      <c r="D38" t="s">
        <v>68</v>
      </c>
      <c r="E38" t="s">
        <v>25</v>
      </c>
      <c r="F38" t="s">
        <v>26</v>
      </c>
      <c r="G38" t="s">
        <v>27</v>
      </c>
      <c r="H38">
        <v>2.3203370499999998E-3</v>
      </c>
      <c r="I38">
        <v>8211.6349658091349</v>
      </c>
      <c r="J38">
        <v>27.8440446</v>
      </c>
      <c r="K38">
        <v>2.32033705</v>
      </c>
      <c r="L38">
        <v>2.32033705</v>
      </c>
      <c r="M38">
        <v>2.32033705</v>
      </c>
      <c r="N38">
        <v>2.32033705</v>
      </c>
      <c r="O38">
        <v>2.32033705</v>
      </c>
      <c r="P38">
        <v>2.32033705</v>
      </c>
      <c r="Q38">
        <v>2.32033705</v>
      </c>
      <c r="R38">
        <v>2.32033705</v>
      </c>
      <c r="S38">
        <v>2.32033705</v>
      </c>
      <c r="T38">
        <v>2.32033705</v>
      </c>
      <c r="U38">
        <v>2.32033705</v>
      </c>
      <c r="V38">
        <v>2.32033705</v>
      </c>
    </row>
    <row r="39" spans="1:22">
      <c r="A39" t="s">
        <v>28</v>
      </c>
      <c r="B39">
        <v>2022</v>
      </c>
      <c r="C39" t="s">
        <v>23</v>
      </c>
      <c r="D39" t="s">
        <v>69</v>
      </c>
      <c r="E39" t="s">
        <v>70</v>
      </c>
      <c r="F39" t="s">
        <v>71</v>
      </c>
      <c r="G39" t="s">
        <v>72</v>
      </c>
      <c r="H39">
        <v>2.3203212099999998E-3</v>
      </c>
      <c r="I39">
        <v>12000</v>
      </c>
      <c r="J39">
        <v>27.843854520000001</v>
      </c>
      <c r="K39">
        <v>2.3203212099999999</v>
      </c>
      <c r="L39">
        <v>2.3203212099999999</v>
      </c>
      <c r="M39">
        <v>2.3203212099999999</v>
      </c>
      <c r="N39">
        <v>2.3203212099999999</v>
      </c>
      <c r="O39">
        <v>2.3203212099999999</v>
      </c>
      <c r="P39">
        <v>2.3203212099999999</v>
      </c>
      <c r="Q39">
        <v>2.3203212099999999</v>
      </c>
      <c r="R39">
        <v>2.3203212099999999</v>
      </c>
      <c r="S39">
        <v>2.3203212099999999</v>
      </c>
      <c r="T39">
        <v>2.3203212099999999</v>
      </c>
      <c r="U39">
        <v>2.3203212099999999</v>
      </c>
      <c r="V39">
        <v>2.3203212099999999</v>
      </c>
    </row>
    <row r="40" spans="1:22">
      <c r="A40" t="s">
        <v>28</v>
      </c>
      <c r="B40">
        <v>2022</v>
      </c>
      <c r="C40" t="s">
        <v>23</v>
      </c>
      <c r="D40" t="s">
        <v>73</v>
      </c>
      <c r="E40" t="s">
        <v>70</v>
      </c>
      <c r="F40" t="s">
        <v>74</v>
      </c>
      <c r="G40" t="s">
        <v>72</v>
      </c>
      <c r="H40">
        <v>2.3203370499999998E-3</v>
      </c>
      <c r="I40">
        <v>12000</v>
      </c>
      <c r="J40">
        <v>27.8440446</v>
      </c>
      <c r="K40">
        <v>2.32033705</v>
      </c>
      <c r="L40">
        <v>2.32033705</v>
      </c>
      <c r="M40">
        <v>2.32033705</v>
      </c>
      <c r="N40">
        <v>2.32033705</v>
      </c>
      <c r="O40">
        <v>2.32033705</v>
      </c>
      <c r="P40">
        <v>2.32033705</v>
      </c>
      <c r="Q40">
        <v>2.32033705</v>
      </c>
      <c r="R40">
        <v>2.32033705</v>
      </c>
      <c r="S40">
        <v>2.32033705</v>
      </c>
      <c r="T40">
        <v>2.32033705</v>
      </c>
      <c r="U40">
        <v>2.32033705</v>
      </c>
      <c r="V40">
        <v>2.32033705</v>
      </c>
    </row>
    <row r="41" spans="1:22">
      <c r="A41" t="s">
        <v>35</v>
      </c>
      <c r="B41">
        <v>2022</v>
      </c>
      <c r="C41" t="s">
        <v>23</v>
      </c>
      <c r="D41" t="s">
        <v>69</v>
      </c>
      <c r="E41" t="s">
        <v>70</v>
      </c>
      <c r="F41" t="s">
        <v>71</v>
      </c>
      <c r="G41" t="s">
        <v>72</v>
      </c>
      <c r="H41">
        <v>2.3203212099999998E-3</v>
      </c>
      <c r="I41">
        <v>12000</v>
      </c>
      <c r="J41">
        <v>27.843854520000001</v>
      </c>
      <c r="K41">
        <v>2.3203212099999999</v>
      </c>
      <c r="L41">
        <v>2.3203212099999999</v>
      </c>
      <c r="M41">
        <v>2.3203212099999999</v>
      </c>
      <c r="N41">
        <v>2.3203212099999999</v>
      </c>
      <c r="O41">
        <v>2.3203212099999999</v>
      </c>
      <c r="P41">
        <v>2.3203212099999999</v>
      </c>
      <c r="Q41">
        <v>2.3203212099999999</v>
      </c>
      <c r="R41">
        <v>2.3203212099999999</v>
      </c>
      <c r="S41">
        <v>2.3203212099999999</v>
      </c>
      <c r="T41">
        <v>2.3203212099999999</v>
      </c>
      <c r="U41">
        <v>2.3203212099999999</v>
      </c>
      <c r="V41">
        <v>2.3203212099999999</v>
      </c>
    </row>
    <row r="42" spans="1:22">
      <c r="A42" t="s">
        <v>35</v>
      </c>
      <c r="B42">
        <v>2022</v>
      </c>
      <c r="C42" t="s">
        <v>23</v>
      </c>
      <c r="D42" t="s">
        <v>73</v>
      </c>
      <c r="E42" t="s">
        <v>70</v>
      </c>
      <c r="F42" t="s">
        <v>74</v>
      </c>
      <c r="G42" t="s">
        <v>72</v>
      </c>
      <c r="H42">
        <v>2.3203370499999998E-3</v>
      </c>
      <c r="I42">
        <v>12000</v>
      </c>
      <c r="J42">
        <v>27.8440446</v>
      </c>
      <c r="K42">
        <v>2.32033705</v>
      </c>
      <c r="L42">
        <v>2.32033705</v>
      </c>
      <c r="M42">
        <v>2.32033705</v>
      </c>
      <c r="N42">
        <v>2.32033705</v>
      </c>
      <c r="O42">
        <v>2.32033705</v>
      </c>
      <c r="P42">
        <v>2.32033705</v>
      </c>
      <c r="Q42">
        <v>2.32033705</v>
      </c>
      <c r="R42">
        <v>2.32033705</v>
      </c>
      <c r="S42">
        <v>2.32033705</v>
      </c>
      <c r="T42">
        <v>2.32033705</v>
      </c>
      <c r="U42">
        <v>2.32033705</v>
      </c>
      <c r="V42">
        <v>2.32033705</v>
      </c>
    </row>
    <row r="43" spans="1:22">
      <c r="A43" t="s">
        <v>37</v>
      </c>
      <c r="B43">
        <v>2022</v>
      </c>
      <c r="C43" t="s">
        <v>23</v>
      </c>
      <c r="D43" t="s">
        <v>69</v>
      </c>
      <c r="E43" t="s">
        <v>70</v>
      </c>
      <c r="F43" t="s">
        <v>71</v>
      </c>
      <c r="G43" t="s">
        <v>72</v>
      </c>
      <c r="H43">
        <v>2.3203212099999998E-3</v>
      </c>
      <c r="I43">
        <v>12000</v>
      </c>
      <c r="J43">
        <v>27.843854520000001</v>
      </c>
      <c r="K43">
        <v>2.3203212099999999</v>
      </c>
      <c r="L43">
        <v>2.3203212099999999</v>
      </c>
      <c r="M43">
        <v>2.3203212099999999</v>
      </c>
      <c r="N43">
        <v>2.3203212099999999</v>
      </c>
      <c r="O43">
        <v>2.3203212099999999</v>
      </c>
      <c r="P43">
        <v>2.3203212099999999</v>
      </c>
      <c r="Q43">
        <v>2.3203212099999999</v>
      </c>
      <c r="R43">
        <v>2.3203212099999999</v>
      </c>
      <c r="S43">
        <v>2.3203212099999999</v>
      </c>
      <c r="T43">
        <v>2.3203212099999999</v>
      </c>
      <c r="U43">
        <v>2.3203212099999999</v>
      </c>
      <c r="V43">
        <v>2.3203212099999999</v>
      </c>
    </row>
    <row r="44" spans="1:22">
      <c r="A44" t="s">
        <v>37</v>
      </c>
      <c r="B44">
        <v>2022</v>
      </c>
      <c r="C44" t="s">
        <v>23</v>
      </c>
      <c r="D44" t="s">
        <v>73</v>
      </c>
      <c r="E44" t="s">
        <v>70</v>
      </c>
      <c r="F44" t="s">
        <v>74</v>
      </c>
      <c r="G44" t="s">
        <v>72</v>
      </c>
      <c r="H44">
        <v>2.3203370499999998E-3</v>
      </c>
      <c r="I44">
        <v>12000</v>
      </c>
      <c r="J44">
        <v>27.8440446</v>
      </c>
      <c r="K44">
        <v>2.32033705</v>
      </c>
      <c r="L44">
        <v>2.32033705</v>
      </c>
      <c r="M44">
        <v>2.32033705</v>
      </c>
      <c r="N44">
        <v>2.32033705</v>
      </c>
      <c r="O44">
        <v>2.32033705</v>
      </c>
      <c r="P44">
        <v>2.32033705</v>
      </c>
      <c r="Q44">
        <v>2.32033705</v>
      </c>
      <c r="R44">
        <v>2.32033705</v>
      </c>
      <c r="S44">
        <v>2.32033705</v>
      </c>
      <c r="T44">
        <v>2.32033705</v>
      </c>
      <c r="U44">
        <v>2.32033705</v>
      </c>
      <c r="V44">
        <v>2.32033705</v>
      </c>
    </row>
    <row r="45" spans="1:22">
      <c r="A45" t="s">
        <v>42</v>
      </c>
      <c r="B45">
        <v>2022</v>
      </c>
      <c r="C45" t="s">
        <v>23</v>
      </c>
      <c r="D45" t="s">
        <v>69</v>
      </c>
      <c r="E45" t="s">
        <v>70</v>
      </c>
      <c r="F45" t="s">
        <v>71</v>
      </c>
      <c r="G45" t="s">
        <v>72</v>
      </c>
      <c r="H45">
        <v>2.3203212099999998E-3</v>
      </c>
      <c r="I45">
        <v>12000</v>
      </c>
      <c r="J45">
        <v>27.843854520000001</v>
      </c>
      <c r="K45">
        <v>2.3203212099999999</v>
      </c>
      <c r="L45">
        <v>2.3203212099999999</v>
      </c>
      <c r="M45">
        <v>2.3203212099999999</v>
      </c>
      <c r="N45">
        <v>2.3203212099999999</v>
      </c>
      <c r="O45">
        <v>2.3203212099999999</v>
      </c>
      <c r="P45">
        <v>2.3203212099999999</v>
      </c>
      <c r="Q45">
        <v>2.3203212099999999</v>
      </c>
      <c r="R45">
        <v>2.3203212099999999</v>
      </c>
      <c r="S45">
        <v>2.3203212099999999</v>
      </c>
      <c r="T45">
        <v>2.3203212099999999</v>
      </c>
      <c r="U45">
        <v>2.3203212099999999</v>
      </c>
      <c r="V45">
        <v>2.3203212099999999</v>
      </c>
    </row>
    <row r="46" spans="1:22">
      <c r="A46" t="s">
        <v>42</v>
      </c>
      <c r="B46">
        <v>2022</v>
      </c>
      <c r="C46" t="s">
        <v>23</v>
      </c>
      <c r="D46" t="s">
        <v>73</v>
      </c>
      <c r="E46" t="s">
        <v>70</v>
      </c>
      <c r="F46" t="s">
        <v>74</v>
      </c>
      <c r="G46" t="s">
        <v>72</v>
      </c>
      <c r="H46">
        <v>2.3203370499999998E-3</v>
      </c>
      <c r="I46">
        <v>12000</v>
      </c>
      <c r="J46">
        <v>27.8440446</v>
      </c>
      <c r="K46">
        <v>2.32033705</v>
      </c>
      <c r="L46">
        <v>2.32033705</v>
      </c>
      <c r="M46">
        <v>2.32033705</v>
      </c>
      <c r="N46">
        <v>2.32033705</v>
      </c>
      <c r="O46">
        <v>2.32033705</v>
      </c>
      <c r="P46">
        <v>2.32033705</v>
      </c>
      <c r="Q46">
        <v>2.32033705</v>
      </c>
      <c r="R46">
        <v>2.32033705</v>
      </c>
      <c r="S46">
        <v>2.32033705</v>
      </c>
      <c r="T46">
        <v>2.32033705</v>
      </c>
      <c r="U46">
        <v>2.32033705</v>
      </c>
      <c r="V46">
        <v>2.32033705</v>
      </c>
    </row>
    <row r="47" spans="1:22">
      <c r="A47" t="s">
        <v>55</v>
      </c>
      <c r="B47">
        <v>2022</v>
      </c>
      <c r="C47" t="s">
        <v>23</v>
      </c>
      <c r="D47" t="s">
        <v>69</v>
      </c>
      <c r="E47" t="s">
        <v>70</v>
      </c>
      <c r="F47" t="s">
        <v>71</v>
      </c>
      <c r="G47" t="s">
        <v>72</v>
      </c>
      <c r="H47">
        <v>2.3203212099999998E-3</v>
      </c>
      <c r="I47">
        <v>12000</v>
      </c>
      <c r="J47">
        <v>27.843854520000001</v>
      </c>
      <c r="K47">
        <v>2.3203212099999999</v>
      </c>
      <c r="L47">
        <v>2.3203212099999999</v>
      </c>
      <c r="M47">
        <v>2.3203212099999999</v>
      </c>
      <c r="N47">
        <v>2.3203212099999999</v>
      </c>
      <c r="O47">
        <v>2.3203212099999999</v>
      </c>
      <c r="P47">
        <v>2.3203212099999999</v>
      </c>
      <c r="Q47">
        <v>2.3203212099999999</v>
      </c>
      <c r="R47">
        <v>2.3203212099999999</v>
      </c>
      <c r="S47">
        <v>2.3203212099999999</v>
      </c>
      <c r="T47">
        <v>2.3203212099999999</v>
      </c>
      <c r="U47">
        <v>2.3203212099999999</v>
      </c>
      <c r="V47">
        <v>2.3203212099999999</v>
      </c>
    </row>
    <row r="48" spans="1:22">
      <c r="A48" t="s">
        <v>55</v>
      </c>
      <c r="B48">
        <v>2022</v>
      </c>
      <c r="C48" t="s">
        <v>23</v>
      </c>
      <c r="D48" t="s">
        <v>73</v>
      </c>
      <c r="E48" t="s">
        <v>70</v>
      </c>
      <c r="F48" t="s">
        <v>74</v>
      </c>
      <c r="G48" t="s">
        <v>72</v>
      </c>
      <c r="H48">
        <v>1.444E-3</v>
      </c>
      <c r="I48">
        <v>12000</v>
      </c>
      <c r="J48">
        <v>8.6639999999999997</v>
      </c>
      <c r="K48">
        <v>0.72199999999999998</v>
      </c>
      <c r="L48">
        <v>0.72199999999999998</v>
      </c>
      <c r="M48">
        <v>0.72199999999999998</v>
      </c>
      <c r="N48">
        <v>0.72199999999999998</v>
      </c>
      <c r="O48">
        <v>0.72199999999999998</v>
      </c>
      <c r="P48">
        <v>0.72199999999999998</v>
      </c>
      <c r="Q48">
        <v>0.72199999999999998</v>
      </c>
      <c r="R48">
        <v>0.72199999999999998</v>
      </c>
      <c r="S48">
        <v>0.72199999999999998</v>
      </c>
      <c r="T48">
        <v>0.72199999999999998</v>
      </c>
      <c r="U48">
        <v>0.72199999999999998</v>
      </c>
      <c r="V48">
        <v>0.72199999999999998</v>
      </c>
    </row>
    <row r="49" spans="1:22">
      <c r="A49" t="s">
        <v>22</v>
      </c>
      <c r="B49">
        <v>2023</v>
      </c>
      <c r="C49" t="s">
        <v>23</v>
      </c>
      <c r="D49" t="s">
        <v>24</v>
      </c>
      <c r="E49" t="s">
        <v>25</v>
      </c>
      <c r="F49" t="s">
        <v>26</v>
      </c>
      <c r="G49" t="s">
        <v>27</v>
      </c>
      <c r="H49">
        <v>5.0351584999999997E-2</v>
      </c>
      <c r="I49">
        <v>1200</v>
      </c>
      <c r="J49">
        <v>60.421902000000003</v>
      </c>
      <c r="K49">
        <v>5.0351584999999996</v>
      </c>
      <c r="L49">
        <v>5.0351584999999996</v>
      </c>
      <c r="M49">
        <v>5.0351584999999996</v>
      </c>
      <c r="N49">
        <v>5.0351584999999996</v>
      </c>
      <c r="O49">
        <v>5.0351584999999996</v>
      </c>
      <c r="P49">
        <v>5.0351584999999996</v>
      </c>
      <c r="Q49">
        <v>5.0351584999999996</v>
      </c>
      <c r="R49">
        <v>5.0351584999999996</v>
      </c>
      <c r="S49">
        <v>5.0351584999999996</v>
      </c>
      <c r="T49">
        <v>5.0351584999999996</v>
      </c>
      <c r="U49">
        <v>5.0351584999999996</v>
      </c>
      <c r="V49">
        <v>5.0351584999999996</v>
      </c>
    </row>
    <row r="50" spans="1:22">
      <c r="A50" t="s">
        <v>28</v>
      </c>
      <c r="B50">
        <v>2023</v>
      </c>
      <c r="C50" t="s">
        <v>23</v>
      </c>
      <c r="D50" t="s">
        <v>29</v>
      </c>
      <c r="E50" t="s">
        <v>30</v>
      </c>
      <c r="F50" t="s">
        <v>30</v>
      </c>
      <c r="G50" t="s">
        <v>31</v>
      </c>
      <c r="H50">
        <v>1.8392250000000001E-3</v>
      </c>
      <c r="I50">
        <v>3798751.439268955</v>
      </c>
      <c r="J50">
        <v>6986.7586158894446</v>
      </c>
      <c r="K50">
        <v>630.74583165169474</v>
      </c>
      <c r="L50">
        <v>602.16550106897489</v>
      </c>
      <c r="M50">
        <v>668.0542746233707</v>
      </c>
      <c r="N50">
        <v>599.55519387398817</v>
      </c>
      <c r="O50">
        <v>586.44433513539775</v>
      </c>
      <c r="P50">
        <v>582.13979177395129</v>
      </c>
      <c r="Q50">
        <v>689.8081369087887</v>
      </c>
      <c r="R50">
        <v>559.61274839197483</v>
      </c>
      <c r="S50">
        <v>0</v>
      </c>
      <c r="T50">
        <v>841.89740548355337</v>
      </c>
      <c r="U50">
        <v>626.03652499788666</v>
      </c>
      <c r="V50">
        <v>600.29887197986375</v>
      </c>
    </row>
    <row r="51" spans="1:22">
      <c r="A51" t="s">
        <v>28</v>
      </c>
      <c r="B51">
        <v>2023</v>
      </c>
      <c r="C51" t="s">
        <v>23</v>
      </c>
      <c r="D51" t="s">
        <v>32</v>
      </c>
      <c r="E51" t="s">
        <v>30</v>
      </c>
      <c r="F51" t="s">
        <v>30</v>
      </c>
      <c r="G51" t="s">
        <v>31</v>
      </c>
      <c r="H51">
        <v>1.8392250000000001E-3</v>
      </c>
      <c r="I51">
        <v>711901.03068868874</v>
      </c>
      <c r="J51">
        <v>1309.346173168404</v>
      </c>
      <c r="K51">
        <v>93.255288449289026</v>
      </c>
      <c r="L51">
        <v>33.742194754845841</v>
      </c>
      <c r="M51">
        <v>49.136255808816578</v>
      </c>
      <c r="N51">
        <v>102.6913940174634</v>
      </c>
      <c r="O51">
        <v>150.5366762161662</v>
      </c>
      <c r="P51">
        <v>203.19627760152409</v>
      </c>
      <c r="Q51">
        <v>43.986205461837507</v>
      </c>
      <c r="R51">
        <v>24.875195606592769</v>
      </c>
      <c r="S51">
        <v>0</v>
      </c>
      <c r="T51">
        <v>228.83480131742809</v>
      </c>
      <c r="U51">
        <v>246.91618645433189</v>
      </c>
      <c r="V51">
        <v>132.17569748010811</v>
      </c>
    </row>
    <row r="52" spans="1:22">
      <c r="A52" t="s">
        <v>28</v>
      </c>
      <c r="B52">
        <v>2023</v>
      </c>
      <c r="C52" t="s">
        <v>23</v>
      </c>
      <c r="D52" t="s">
        <v>33</v>
      </c>
      <c r="E52" t="s">
        <v>30</v>
      </c>
      <c r="F52" t="s">
        <v>30</v>
      </c>
      <c r="G52" t="s">
        <v>31</v>
      </c>
      <c r="H52">
        <v>1.8392250000000001E-3</v>
      </c>
      <c r="I52">
        <v>10035041.75822836</v>
      </c>
      <c r="J52">
        <v>18456.699677777549</v>
      </c>
      <c r="K52">
        <v>1895.608863197898</v>
      </c>
      <c r="L52">
        <v>1750.415277360006</v>
      </c>
      <c r="M52">
        <v>2031.542833293546</v>
      </c>
      <c r="N52">
        <v>1884.2434944781121</v>
      </c>
      <c r="O52">
        <v>1980.519691861997</v>
      </c>
      <c r="P52">
        <v>2074.8087139718332</v>
      </c>
      <c r="Q52">
        <v>2283.5739085564669</v>
      </c>
      <c r="R52">
        <v>1210.6109151888579</v>
      </c>
      <c r="S52">
        <v>0</v>
      </c>
      <c r="T52">
        <v>904.87669258398591</v>
      </c>
      <c r="U52">
        <v>1583.6592985609559</v>
      </c>
      <c r="V52">
        <v>856.83998872389282</v>
      </c>
    </row>
    <row r="53" spans="1:22">
      <c r="A53" t="s">
        <v>28</v>
      </c>
      <c r="B53">
        <v>2023</v>
      </c>
      <c r="C53" t="s">
        <v>23</v>
      </c>
      <c r="D53" t="s">
        <v>34</v>
      </c>
      <c r="E53" t="s">
        <v>30</v>
      </c>
      <c r="F53" t="s">
        <v>30</v>
      </c>
      <c r="G53" t="s">
        <v>31</v>
      </c>
      <c r="H53">
        <v>1.8392250000000001E-3</v>
      </c>
      <c r="I53">
        <v>1387896.3082956141</v>
      </c>
      <c r="J53">
        <v>2552.653587625</v>
      </c>
      <c r="K53">
        <v>274.0910265</v>
      </c>
      <c r="L53">
        <v>243.12041550000001</v>
      </c>
      <c r="M53">
        <v>270.74362812499999</v>
      </c>
      <c r="N53">
        <v>249.40858775000001</v>
      </c>
      <c r="O53">
        <v>247.57110925000001</v>
      </c>
      <c r="P53">
        <v>247.548519</v>
      </c>
      <c r="Q53">
        <v>277.05822475000002</v>
      </c>
      <c r="R53">
        <v>199.30507125</v>
      </c>
      <c r="S53">
        <v>0</v>
      </c>
      <c r="T53">
        <v>111.86298025000001</v>
      </c>
      <c r="U53">
        <v>196.31631899999999</v>
      </c>
      <c r="V53">
        <v>235.62770624999999</v>
      </c>
    </row>
    <row r="54" spans="1:22">
      <c r="A54" t="s">
        <v>35</v>
      </c>
      <c r="B54">
        <v>2023</v>
      </c>
      <c r="C54" t="s">
        <v>23</v>
      </c>
      <c r="D54" t="s">
        <v>36</v>
      </c>
      <c r="E54" t="s">
        <v>30</v>
      </c>
      <c r="F54" t="s">
        <v>30</v>
      </c>
      <c r="G54" t="s">
        <v>31</v>
      </c>
      <c r="H54">
        <v>1.8392250000000001E-3</v>
      </c>
      <c r="I54">
        <v>17931.692638840279</v>
      </c>
      <c r="J54">
        <v>32.980417393670997</v>
      </c>
      <c r="K54">
        <v>3.0794015381330002</v>
      </c>
      <c r="L54">
        <v>2.7033376002790002</v>
      </c>
      <c r="M54">
        <v>2.9515468893739998</v>
      </c>
      <c r="N54">
        <v>2.7308782515929999</v>
      </c>
      <c r="O54">
        <v>2.993533642584</v>
      </c>
      <c r="P54">
        <v>2.8282232649060002</v>
      </c>
      <c r="Q54">
        <v>2.6995377437219998</v>
      </c>
      <c r="R54">
        <v>2.562310854009</v>
      </c>
      <c r="S54">
        <v>2.7072371615269999</v>
      </c>
      <c r="T54">
        <v>1.886545693308</v>
      </c>
      <c r="U54">
        <v>3.0124442989769999</v>
      </c>
      <c r="V54">
        <v>2.8254204552590001</v>
      </c>
    </row>
    <row r="55" spans="1:22">
      <c r="A55" t="s">
        <v>35</v>
      </c>
      <c r="B55">
        <v>2023</v>
      </c>
      <c r="C55" t="s">
        <v>23</v>
      </c>
      <c r="D55" t="s">
        <v>36</v>
      </c>
      <c r="E55" t="s">
        <v>30</v>
      </c>
      <c r="F55" t="s">
        <v>30</v>
      </c>
      <c r="G55" t="s">
        <v>31</v>
      </c>
      <c r="H55">
        <v>1.8392250000000001E-3</v>
      </c>
      <c r="I55">
        <v>171224.84915029461</v>
      </c>
      <c r="J55">
        <v>314.92102317845053</v>
      </c>
      <c r="K55">
        <v>27.146880659283148</v>
      </c>
      <c r="L55">
        <v>26.959298565175331</v>
      </c>
      <c r="M55">
        <v>23.783608744767591</v>
      </c>
      <c r="N55">
        <v>23.935475208157332</v>
      </c>
      <c r="O55">
        <v>25.961361824521749</v>
      </c>
      <c r="P55">
        <v>24.91840538128228</v>
      </c>
      <c r="Q55">
        <v>30.560874772045398</v>
      </c>
      <c r="R55">
        <v>33.559687183182348</v>
      </c>
      <c r="S55">
        <v>4.1268060703719502</v>
      </c>
      <c r="T55">
        <v>32.786848955458098</v>
      </c>
      <c r="U55">
        <v>30.560874772045398</v>
      </c>
      <c r="V55">
        <v>30.620901042159851</v>
      </c>
    </row>
    <row r="56" spans="1:22">
      <c r="A56" t="s">
        <v>35</v>
      </c>
      <c r="B56">
        <v>2023</v>
      </c>
      <c r="C56" t="s">
        <v>23</v>
      </c>
      <c r="D56" t="s">
        <v>34</v>
      </c>
      <c r="E56" t="s">
        <v>34</v>
      </c>
      <c r="F56" t="s">
        <v>34</v>
      </c>
      <c r="G56" t="s">
        <v>31</v>
      </c>
      <c r="H56">
        <v>1.311E-2</v>
      </c>
      <c r="I56">
        <v>41733950.180274598</v>
      </c>
      <c r="J56">
        <v>547132.08686340018</v>
      </c>
      <c r="K56">
        <v>498.22359077499988</v>
      </c>
      <c r="L56">
        <v>427.09624050000002</v>
      </c>
      <c r="M56">
        <v>558.01606550000008</v>
      </c>
      <c r="N56">
        <v>500.3383905</v>
      </c>
      <c r="O56">
        <v>481.34142027500002</v>
      </c>
      <c r="P56">
        <v>528.90803097499997</v>
      </c>
      <c r="Q56">
        <v>533.19045845000005</v>
      </c>
      <c r="R56">
        <v>434.11967357499998</v>
      </c>
      <c r="S56">
        <v>0</v>
      </c>
      <c r="T56">
        <v>283.04443375000011</v>
      </c>
      <c r="U56">
        <v>542749.38802500011</v>
      </c>
      <c r="V56">
        <v>138.4205341</v>
      </c>
    </row>
    <row r="57" spans="1:22">
      <c r="A57" t="s">
        <v>37</v>
      </c>
      <c r="B57">
        <v>2023</v>
      </c>
      <c r="C57" t="s">
        <v>23</v>
      </c>
      <c r="D57" t="s">
        <v>38</v>
      </c>
      <c r="E57" t="s">
        <v>30</v>
      </c>
      <c r="F57" t="s">
        <v>30</v>
      </c>
      <c r="G57" t="s">
        <v>31</v>
      </c>
      <c r="H57">
        <v>1.8392250000000001E-3</v>
      </c>
      <c r="I57">
        <v>8167998.4164763903</v>
      </c>
      <c r="J57">
        <v>15022.786887543791</v>
      </c>
      <c r="K57">
        <v>1629.941320922713</v>
      </c>
      <c r="L57">
        <v>1509.7364891016459</v>
      </c>
      <c r="M57">
        <v>1487.4121231040069</v>
      </c>
      <c r="N57">
        <v>1479.343063966968</v>
      </c>
      <c r="O57">
        <v>1593.0413592696229</v>
      </c>
      <c r="P57">
        <v>1407.818537348109</v>
      </c>
      <c r="Q57">
        <v>1562.3292579009819</v>
      </c>
      <c r="R57">
        <v>1373.144960304968</v>
      </c>
      <c r="S57">
        <v>0</v>
      </c>
      <c r="T57">
        <v>1487.3798963193231</v>
      </c>
      <c r="U57">
        <v>1491.6383763869919</v>
      </c>
      <c r="V57">
        <v>1.0015029184593041</v>
      </c>
    </row>
    <row r="58" spans="1:22">
      <c r="A58" t="s">
        <v>37</v>
      </c>
      <c r="B58">
        <v>2023</v>
      </c>
      <c r="C58" t="s">
        <v>23</v>
      </c>
      <c r="D58" t="s">
        <v>39</v>
      </c>
      <c r="E58" t="s">
        <v>30</v>
      </c>
      <c r="F58" t="s">
        <v>30</v>
      </c>
      <c r="G58" t="s">
        <v>31</v>
      </c>
      <c r="H58">
        <v>1.8392250000000001E-3</v>
      </c>
      <c r="I58">
        <v>2141106.4181821579</v>
      </c>
      <c r="J58">
        <v>3937.9764519810801</v>
      </c>
      <c r="K58">
        <v>338.04098899487713</v>
      </c>
      <c r="L58">
        <v>289.18962351188333</v>
      </c>
      <c r="M58">
        <v>340.27473155751022</v>
      </c>
      <c r="N58">
        <v>362.55865593073878</v>
      </c>
      <c r="O58">
        <v>380.21148336432259</v>
      </c>
      <c r="P58">
        <v>412.55587352904922</v>
      </c>
      <c r="Q58">
        <v>349.32666907093437</v>
      </c>
      <c r="R58">
        <v>506.49292294710563</v>
      </c>
      <c r="S58">
        <v>107.961376787285</v>
      </c>
      <c r="T58">
        <v>499.43301147008498</v>
      </c>
      <c r="U58">
        <v>351.85726648007392</v>
      </c>
      <c r="V58">
        <v>7.3848337214979992E-2</v>
      </c>
    </row>
    <row r="59" spans="1:22">
      <c r="A59" t="s">
        <v>37</v>
      </c>
      <c r="B59">
        <v>2023</v>
      </c>
      <c r="C59" t="s">
        <v>23</v>
      </c>
      <c r="D59" t="s">
        <v>40</v>
      </c>
      <c r="E59" t="s">
        <v>41</v>
      </c>
      <c r="F59" t="s">
        <v>41</v>
      </c>
      <c r="G59" t="s">
        <v>31</v>
      </c>
      <c r="H59">
        <v>1.311E-2</v>
      </c>
      <c r="I59">
        <v>6418482.0816170843</v>
      </c>
      <c r="J59">
        <v>84146.30008999999</v>
      </c>
      <c r="K59">
        <v>8639.82</v>
      </c>
      <c r="L59">
        <v>7283.75</v>
      </c>
      <c r="M59">
        <v>9016.86</v>
      </c>
      <c r="N59">
        <v>8258.16</v>
      </c>
      <c r="O59">
        <v>8381.7800000000007</v>
      </c>
      <c r="P59">
        <v>8551.18</v>
      </c>
      <c r="Q59">
        <v>8749</v>
      </c>
      <c r="R59">
        <v>7573.0100000000011</v>
      </c>
      <c r="S59">
        <v>0</v>
      </c>
      <c r="T59">
        <v>7119.1100899999992</v>
      </c>
      <c r="U59">
        <v>8465.49</v>
      </c>
      <c r="V59">
        <v>2108.14</v>
      </c>
    </row>
    <row r="60" spans="1:22">
      <c r="A60" t="s">
        <v>37</v>
      </c>
      <c r="B60">
        <v>2023</v>
      </c>
      <c r="C60" t="s">
        <v>23</v>
      </c>
      <c r="D60" t="s">
        <v>34</v>
      </c>
      <c r="E60" t="s">
        <v>34</v>
      </c>
      <c r="F60" t="s">
        <v>34</v>
      </c>
      <c r="G60" t="s">
        <v>31</v>
      </c>
      <c r="H60">
        <v>1.311E-2</v>
      </c>
      <c r="I60">
        <v>1393373.4452707849</v>
      </c>
      <c r="J60">
        <v>18267.125867499999</v>
      </c>
      <c r="K60">
        <v>1910.6204925</v>
      </c>
      <c r="L60">
        <v>1691.762115</v>
      </c>
      <c r="M60">
        <v>1992.4261775</v>
      </c>
      <c r="N60">
        <v>1781.5145050000001</v>
      </c>
      <c r="O60">
        <v>1768.17632</v>
      </c>
      <c r="P60">
        <v>1882.9981075000001</v>
      </c>
      <c r="Q60">
        <v>1920.99757</v>
      </c>
      <c r="R60">
        <v>1596.4665425000001</v>
      </c>
      <c r="S60">
        <v>0</v>
      </c>
      <c r="T60">
        <v>1443.7016775</v>
      </c>
      <c r="U60">
        <v>1890.720615</v>
      </c>
      <c r="V60">
        <v>387.74174499999998</v>
      </c>
    </row>
    <row r="61" spans="1:22">
      <c r="A61" t="s">
        <v>42</v>
      </c>
      <c r="B61">
        <v>2023</v>
      </c>
      <c r="C61" t="s">
        <v>23</v>
      </c>
      <c r="D61" t="s">
        <v>43</v>
      </c>
      <c r="E61" t="s">
        <v>30</v>
      </c>
      <c r="F61" t="s">
        <v>30</v>
      </c>
      <c r="G61" t="s">
        <v>31</v>
      </c>
      <c r="H61">
        <v>1.8392250000000001E-3</v>
      </c>
      <c r="I61">
        <v>47473.397007305903</v>
      </c>
      <c r="J61">
        <v>87.314258610762195</v>
      </c>
      <c r="K61">
        <v>7.40790158458812</v>
      </c>
      <c r="L61">
        <v>6.6989901479648797</v>
      </c>
      <c r="M61">
        <v>7.3789209283739599</v>
      </c>
      <c r="N61">
        <v>7.1626806473914</v>
      </c>
      <c r="O61">
        <v>7.4235065533188198</v>
      </c>
      <c r="P61">
        <v>7.1894320223583108</v>
      </c>
      <c r="Q61">
        <v>7.4301943970605402</v>
      </c>
      <c r="R61">
        <v>7.4324236783077904</v>
      </c>
      <c r="S61">
        <v>7.1827441786165798</v>
      </c>
      <c r="T61">
        <v>7.4346529595550299</v>
      </c>
      <c r="U61">
        <v>7.1782856161220998</v>
      </c>
      <c r="V61">
        <v>7.3945258971046606</v>
      </c>
    </row>
    <row r="62" spans="1:22">
      <c r="A62" t="s">
        <v>42</v>
      </c>
      <c r="B62">
        <v>2023</v>
      </c>
      <c r="C62" t="s">
        <v>23</v>
      </c>
      <c r="D62" t="s">
        <v>44</v>
      </c>
      <c r="E62" t="s">
        <v>30</v>
      </c>
      <c r="F62" t="s">
        <v>30</v>
      </c>
      <c r="G62" t="s">
        <v>31</v>
      </c>
      <c r="H62">
        <v>1.8392250000000001E-3</v>
      </c>
      <c r="I62">
        <v>61431.669020381567</v>
      </c>
      <c r="J62">
        <v>112.9866614540113</v>
      </c>
      <c r="K62">
        <v>9.6126607381113303</v>
      </c>
      <c r="L62">
        <v>8.6696747705275907</v>
      </c>
      <c r="M62">
        <v>9.6015143318751193</v>
      </c>
      <c r="N62">
        <v>9.2938735197555999</v>
      </c>
      <c r="O62">
        <v>9.61711930060582</v>
      </c>
      <c r="P62">
        <v>9.3005613634973301</v>
      </c>
      <c r="Q62">
        <v>9.6104314568640898</v>
      </c>
      <c r="R62">
        <v>9.6260364255947906</v>
      </c>
      <c r="S62">
        <v>9.2559757385524701</v>
      </c>
      <c r="T62">
        <v>9.5792215194026902</v>
      </c>
      <c r="U62">
        <v>9.2426000510690098</v>
      </c>
      <c r="V62">
        <v>9.5769922381554498</v>
      </c>
    </row>
    <row r="63" spans="1:22">
      <c r="A63" t="s">
        <v>42</v>
      </c>
      <c r="B63">
        <v>2023</v>
      </c>
      <c r="C63" t="s">
        <v>23</v>
      </c>
      <c r="D63" t="s">
        <v>45</v>
      </c>
      <c r="E63" t="s">
        <v>30</v>
      </c>
      <c r="F63" t="s">
        <v>30</v>
      </c>
      <c r="G63" t="s">
        <v>31</v>
      </c>
      <c r="H63">
        <v>1.8392250000000001E-3</v>
      </c>
      <c r="I63">
        <v>110787.4207026012</v>
      </c>
      <c r="J63">
        <v>203.7629938417416</v>
      </c>
      <c r="K63">
        <v>17.466418572148001</v>
      </c>
      <c r="L63">
        <v>15.765476980501701</v>
      </c>
      <c r="M63">
        <v>17.232344041187499</v>
      </c>
      <c r="N63">
        <v>16.4944519483501</v>
      </c>
      <c r="O63">
        <v>17.236802603682001</v>
      </c>
      <c r="P63">
        <v>16.7731121042555</v>
      </c>
      <c r="Q63">
        <v>17.3237445723245</v>
      </c>
      <c r="R63">
        <v>17.3616423535276</v>
      </c>
      <c r="S63">
        <v>16.6259795419375</v>
      </c>
      <c r="T63">
        <v>17.299222478604801</v>
      </c>
      <c r="U63">
        <v>16.7954049167279</v>
      </c>
      <c r="V63">
        <v>17.388393728494499</v>
      </c>
    </row>
    <row r="64" spans="1:22">
      <c r="A64" t="s">
        <v>42</v>
      </c>
      <c r="B64">
        <v>2023</v>
      </c>
      <c r="C64" t="s">
        <v>23</v>
      </c>
      <c r="D64" t="s">
        <v>46</v>
      </c>
      <c r="E64" t="s">
        <v>25</v>
      </c>
      <c r="F64" t="s">
        <v>26</v>
      </c>
      <c r="G64" t="s">
        <v>27</v>
      </c>
      <c r="H64">
        <v>5.0351584999999997E-2</v>
      </c>
      <c r="I64">
        <v>392829.65576902841</v>
      </c>
      <c r="J64">
        <v>19779.595802974971</v>
      </c>
      <c r="K64">
        <v>2066.7598270676208</v>
      </c>
      <c r="L64">
        <v>1605.8622207195281</v>
      </c>
      <c r="M64">
        <v>0</v>
      </c>
      <c r="N64">
        <v>1090.454919884935</v>
      </c>
      <c r="O64">
        <v>2401.3452781077408</v>
      </c>
      <c r="P64">
        <v>2293.6223397820349</v>
      </c>
      <c r="Q64">
        <v>2198.9271791972578</v>
      </c>
      <c r="R64">
        <v>2273.8492204699141</v>
      </c>
      <c r="S64">
        <v>1204.944450684696</v>
      </c>
      <c r="T64">
        <v>557.19180244508755</v>
      </c>
      <c r="U64">
        <v>2270.7733204327228</v>
      </c>
      <c r="V64">
        <v>1815.865244183434</v>
      </c>
    </row>
    <row r="65" spans="1:22">
      <c r="A65" t="s">
        <v>42</v>
      </c>
      <c r="B65">
        <v>2023</v>
      </c>
      <c r="C65" t="s">
        <v>23</v>
      </c>
      <c r="D65" t="s">
        <v>46</v>
      </c>
      <c r="E65" t="s">
        <v>25</v>
      </c>
      <c r="F65" t="s">
        <v>26</v>
      </c>
      <c r="G65" t="s">
        <v>27</v>
      </c>
      <c r="H65">
        <v>5.0351584999999997E-2</v>
      </c>
      <c r="I65">
        <v>445005.11963030731</v>
      </c>
      <c r="J65">
        <v>22406.713106500589</v>
      </c>
      <c r="K65">
        <v>2322.5952786315138</v>
      </c>
      <c r="L65">
        <v>2159.5976141929</v>
      </c>
      <c r="M65">
        <v>2391.9046024350291</v>
      </c>
      <c r="N65">
        <v>1947.2041908163999</v>
      </c>
      <c r="O65">
        <v>2426.0850420162028</v>
      </c>
      <c r="P65">
        <v>2282.670951428966</v>
      </c>
      <c r="Q65">
        <v>2172.573377952815</v>
      </c>
      <c r="R65">
        <v>2356.6033546501799</v>
      </c>
      <c r="S65">
        <v>1192.8429748334061</v>
      </c>
      <c r="T65">
        <v>1707.9201636359339</v>
      </c>
      <c r="U65">
        <v>1406.2579875940739</v>
      </c>
      <c r="V65">
        <v>40.457568313159072</v>
      </c>
    </row>
    <row r="66" spans="1:22">
      <c r="A66" t="s">
        <v>42</v>
      </c>
      <c r="B66">
        <v>2023</v>
      </c>
      <c r="C66" t="s">
        <v>23</v>
      </c>
      <c r="D66" t="s">
        <v>46</v>
      </c>
      <c r="E66" t="s">
        <v>25</v>
      </c>
      <c r="F66" t="s">
        <v>26</v>
      </c>
      <c r="G66" t="s">
        <v>27</v>
      </c>
      <c r="H66">
        <v>5.0351584999999997E-2</v>
      </c>
      <c r="I66">
        <v>452566.13774581032</v>
      </c>
      <c r="J66">
        <v>22787.422352829879</v>
      </c>
      <c r="K66">
        <v>2125.0814422670051</v>
      </c>
      <c r="L66">
        <v>2083.01692298236</v>
      </c>
      <c r="M66">
        <v>2208.99911621513</v>
      </c>
      <c r="N66">
        <v>2293.7439521580682</v>
      </c>
      <c r="O66">
        <v>2362.244416595157</v>
      </c>
      <c r="P66">
        <v>2244.5433335622979</v>
      </c>
      <c r="Q66">
        <v>2365.585910386611</v>
      </c>
      <c r="R66">
        <v>85.371088159228918</v>
      </c>
      <c r="S66">
        <v>0</v>
      </c>
      <c r="T66">
        <v>2539.150187050549</v>
      </c>
      <c r="U66">
        <v>2325.19321619624</v>
      </c>
      <c r="V66">
        <v>2154.492767257228</v>
      </c>
    </row>
    <row r="67" spans="1:22">
      <c r="A67" t="s">
        <v>42</v>
      </c>
      <c r="B67">
        <v>2023</v>
      </c>
      <c r="C67" t="s">
        <v>23</v>
      </c>
      <c r="D67" t="s">
        <v>46</v>
      </c>
      <c r="E67" t="s">
        <v>25</v>
      </c>
      <c r="F67" t="s">
        <v>26</v>
      </c>
      <c r="G67" t="s">
        <v>27</v>
      </c>
      <c r="H67">
        <v>5.0351584999999997E-2</v>
      </c>
      <c r="I67">
        <v>407030.57781089121</v>
      </c>
      <c r="J67">
        <v>20494.634736244199</v>
      </c>
      <c r="K67">
        <v>2317.3550381974328</v>
      </c>
      <c r="L67">
        <v>1839.2436156044851</v>
      </c>
      <c r="M67">
        <v>2376.2488256037491</v>
      </c>
      <c r="N67">
        <v>2218.047838000849</v>
      </c>
      <c r="O67">
        <v>519.804080630248</v>
      </c>
      <c r="P67">
        <v>1130.989496934561</v>
      </c>
      <c r="Q67">
        <v>0</v>
      </c>
      <c r="R67">
        <v>2337.6196932694602</v>
      </c>
      <c r="S67">
        <v>968.89289164885906</v>
      </c>
      <c r="T67">
        <v>2615.8087137596658</v>
      </c>
      <c r="U67">
        <v>2040.5149655298201</v>
      </c>
      <c r="V67">
        <v>2130.1095770650718</v>
      </c>
    </row>
    <row r="68" spans="1:22">
      <c r="A68" t="s">
        <v>42</v>
      </c>
      <c r="B68">
        <v>2023</v>
      </c>
      <c r="C68" t="s">
        <v>23</v>
      </c>
      <c r="D68" t="s">
        <v>46</v>
      </c>
      <c r="E68" t="s">
        <v>25</v>
      </c>
      <c r="F68" t="s">
        <v>26</v>
      </c>
      <c r="G68" t="s">
        <v>27</v>
      </c>
      <c r="H68">
        <v>5.0351584999999997E-2</v>
      </c>
      <c r="I68">
        <v>490013.92705530918</v>
      </c>
      <c r="J68">
        <v>24672.9778993092</v>
      </c>
      <c r="K68">
        <v>2226.1421703647138</v>
      </c>
      <c r="L68">
        <v>2219.9027779500361</v>
      </c>
      <c r="M68">
        <v>2351.823704494213</v>
      </c>
      <c r="N68">
        <v>2083.8684639273561</v>
      </c>
      <c r="O68">
        <v>2345.1868132967852</v>
      </c>
      <c r="P68">
        <v>2256.068541016848</v>
      </c>
      <c r="Q68">
        <v>2169.8378334914692</v>
      </c>
      <c r="R68">
        <v>2424.315958064813</v>
      </c>
      <c r="S68">
        <v>395.90585986657288</v>
      </c>
      <c r="T68">
        <v>1855.2775055684181</v>
      </c>
      <c r="U68">
        <v>2317.8740686776769</v>
      </c>
      <c r="V68">
        <v>2026.774202590294</v>
      </c>
    </row>
    <row r="69" spans="1:22">
      <c r="A69" t="s">
        <v>42</v>
      </c>
      <c r="B69">
        <v>2023</v>
      </c>
      <c r="C69" t="s">
        <v>23</v>
      </c>
      <c r="D69" t="s">
        <v>46</v>
      </c>
      <c r="E69" t="s">
        <v>25</v>
      </c>
      <c r="F69" t="s">
        <v>26</v>
      </c>
      <c r="G69" t="s">
        <v>27</v>
      </c>
      <c r="H69">
        <v>5.0351584999999997E-2</v>
      </c>
      <c r="I69">
        <v>398630.45920427633</v>
      </c>
      <c r="J69">
        <v>20071.675450213152</v>
      </c>
      <c r="K69">
        <v>388.78181366626472</v>
      </c>
      <c r="L69">
        <v>1792.0619502915031</v>
      </c>
      <c r="M69">
        <v>2474.980398447216</v>
      </c>
      <c r="N69">
        <v>2077.549931126412</v>
      </c>
      <c r="O69">
        <v>2152.5094081186512</v>
      </c>
      <c r="P69">
        <v>2175.350036022845</v>
      </c>
      <c r="Q69">
        <v>2203.6658735938572</v>
      </c>
      <c r="R69">
        <v>2224.9921512678579</v>
      </c>
      <c r="S69">
        <v>983.40361549820989</v>
      </c>
      <c r="T69">
        <v>974.21774896359443</v>
      </c>
      <c r="U69">
        <v>543.91468767573804</v>
      </c>
      <c r="V69">
        <v>2080.2478355409999</v>
      </c>
    </row>
    <row r="70" spans="1:22">
      <c r="A70" t="s">
        <v>42</v>
      </c>
      <c r="B70">
        <v>2023</v>
      </c>
      <c r="C70" t="s">
        <v>23</v>
      </c>
      <c r="D70" t="s">
        <v>46</v>
      </c>
      <c r="E70" t="s">
        <v>25</v>
      </c>
      <c r="F70" t="s">
        <v>26</v>
      </c>
      <c r="G70" t="s">
        <v>27</v>
      </c>
      <c r="H70">
        <v>5.0351584999999997E-2</v>
      </c>
      <c r="I70">
        <v>443401.1548409143</v>
      </c>
      <c r="J70">
        <v>22325.950937070462</v>
      </c>
      <c r="K70">
        <v>2473.204968076318</v>
      </c>
      <c r="L70">
        <v>1834.4378755871139</v>
      </c>
      <c r="M70">
        <v>2445.5259078071758</v>
      </c>
      <c r="N70">
        <v>2141.078142931668</v>
      </c>
      <c r="O70">
        <v>2077.0032051064259</v>
      </c>
      <c r="P70">
        <v>2332.8562007450432</v>
      </c>
      <c r="Q70">
        <v>2273.5159988062901</v>
      </c>
      <c r="R70">
        <v>1896.2023405018119</v>
      </c>
      <c r="S70">
        <v>927.50338077084314</v>
      </c>
      <c r="T70">
        <v>0</v>
      </c>
      <c r="U70">
        <v>2096.2099768514272</v>
      </c>
      <c r="V70">
        <v>1828.412939886337</v>
      </c>
    </row>
    <row r="71" spans="1:22">
      <c r="A71" t="s">
        <v>42</v>
      </c>
      <c r="B71">
        <v>2023</v>
      </c>
      <c r="C71" t="s">
        <v>23</v>
      </c>
      <c r="D71" t="s">
        <v>47</v>
      </c>
      <c r="E71" t="s">
        <v>30</v>
      </c>
      <c r="F71" t="s">
        <v>30</v>
      </c>
      <c r="G71" t="s">
        <v>31</v>
      </c>
      <c r="H71">
        <v>1.8392250000000001E-3</v>
      </c>
      <c r="I71">
        <v>115158194.246758</v>
      </c>
      <c r="J71">
        <v>211801.8298134935</v>
      </c>
      <c r="K71">
        <v>4.9918073298579833</v>
      </c>
      <c r="L71">
        <v>19.792423735994252</v>
      </c>
      <c r="M71">
        <v>0</v>
      </c>
      <c r="N71">
        <v>36087.03575738451</v>
      </c>
      <c r="O71">
        <v>3261.3083773894509</v>
      </c>
      <c r="P71">
        <v>13455.35572188301</v>
      </c>
      <c r="Q71">
        <v>207.89123317898</v>
      </c>
      <c r="R71">
        <v>0</v>
      </c>
      <c r="S71">
        <v>144510.56757667029</v>
      </c>
      <c r="T71">
        <v>4250.699977982752</v>
      </c>
      <c r="U71">
        <v>3089.773012489803</v>
      </c>
      <c r="V71">
        <v>6914.4139254488291</v>
      </c>
    </row>
    <row r="72" spans="1:22">
      <c r="A72" t="s">
        <v>42</v>
      </c>
      <c r="B72">
        <v>2023</v>
      </c>
      <c r="C72" t="s">
        <v>23</v>
      </c>
      <c r="D72" t="s">
        <v>48</v>
      </c>
      <c r="E72" t="s">
        <v>30</v>
      </c>
      <c r="F72" t="s">
        <v>30</v>
      </c>
      <c r="G72" t="s">
        <v>31</v>
      </c>
      <c r="H72">
        <v>1.8392250000000001E-3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</row>
    <row r="73" spans="1:22">
      <c r="A73" t="s">
        <v>42</v>
      </c>
      <c r="B73">
        <v>2023</v>
      </c>
      <c r="C73" t="s">
        <v>23</v>
      </c>
      <c r="D73" t="s">
        <v>49</v>
      </c>
      <c r="E73" t="s">
        <v>30</v>
      </c>
      <c r="F73" t="s">
        <v>30</v>
      </c>
      <c r="G73" t="s">
        <v>31</v>
      </c>
      <c r="H73">
        <v>1.8392250000000001E-3</v>
      </c>
      <c r="I73">
        <v>7219402.6517332559</v>
      </c>
      <c r="J73">
        <v>13278.1058421341</v>
      </c>
      <c r="K73">
        <v>1149.376286974122</v>
      </c>
      <c r="L73">
        <v>1299.8999501063131</v>
      </c>
      <c r="M73">
        <v>1247.2015634994939</v>
      </c>
      <c r="N73">
        <v>1114.6743955452559</v>
      </c>
      <c r="O73">
        <v>1369.063215280185</v>
      </c>
      <c r="P73">
        <v>1266.2524882035359</v>
      </c>
      <c r="Q73">
        <v>1288.738005433243</v>
      </c>
      <c r="R73">
        <v>1369.0458980069459</v>
      </c>
      <c r="S73">
        <v>402.13017430010387</v>
      </c>
      <c r="T73">
        <v>743.12460164320828</v>
      </c>
      <c r="U73">
        <v>1126.605996806712</v>
      </c>
      <c r="V73">
        <v>901.99326633497867</v>
      </c>
    </row>
    <row r="74" spans="1:22">
      <c r="A74" t="s">
        <v>42</v>
      </c>
      <c r="B74">
        <v>2023</v>
      </c>
      <c r="C74" t="s">
        <v>23</v>
      </c>
      <c r="D74" t="s">
        <v>50</v>
      </c>
      <c r="E74" t="s">
        <v>30</v>
      </c>
      <c r="F74" t="s">
        <v>30</v>
      </c>
      <c r="G74" t="s">
        <v>31</v>
      </c>
      <c r="H74">
        <v>1.8392250000000001E-3</v>
      </c>
      <c r="I74">
        <v>45790.189535945618</v>
      </c>
      <c r="J74">
        <v>84.21846134924958</v>
      </c>
      <c r="K74">
        <v>7.5068486003255286</v>
      </c>
      <c r="L74">
        <v>6.7074425426979207</v>
      </c>
      <c r="M74">
        <v>7.2568941681056298</v>
      </c>
      <c r="N74">
        <v>7.1172283947237904</v>
      </c>
      <c r="O74">
        <v>6.47616000531516</v>
      </c>
      <c r="P74">
        <v>7.5755611733262196</v>
      </c>
      <c r="Q74">
        <v>7.5778018007066814</v>
      </c>
      <c r="R74">
        <v>7.4585506323467801</v>
      </c>
      <c r="S74">
        <v>6.5461173713050007</v>
      </c>
      <c r="T74">
        <v>6.7328363196764398</v>
      </c>
      <c r="U74">
        <v>6.3952484610208709</v>
      </c>
      <c r="V74">
        <v>6.8677718796995393</v>
      </c>
    </row>
    <row r="75" spans="1:22">
      <c r="A75" t="s">
        <v>42</v>
      </c>
      <c r="B75">
        <v>2023</v>
      </c>
      <c r="C75" t="s">
        <v>23</v>
      </c>
      <c r="D75" t="s">
        <v>51</v>
      </c>
      <c r="E75" t="s">
        <v>30</v>
      </c>
      <c r="F75" t="s">
        <v>30</v>
      </c>
      <c r="G75" t="s">
        <v>31</v>
      </c>
      <c r="H75">
        <v>1.8392250000000001E-3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</row>
    <row r="76" spans="1:22">
      <c r="A76" t="s">
        <v>42</v>
      </c>
      <c r="B76">
        <v>2023</v>
      </c>
      <c r="C76" t="s">
        <v>23</v>
      </c>
      <c r="D76" t="s">
        <v>52</v>
      </c>
      <c r="E76" t="s">
        <v>30</v>
      </c>
      <c r="F76" t="s">
        <v>30</v>
      </c>
      <c r="G76" t="s">
        <v>31</v>
      </c>
      <c r="H76">
        <v>1.8392250000000001E-3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</row>
    <row r="77" spans="1:22">
      <c r="A77" t="s">
        <v>42</v>
      </c>
      <c r="B77">
        <v>2023</v>
      </c>
      <c r="C77" t="s">
        <v>23</v>
      </c>
      <c r="D77" t="s">
        <v>53</v>
      </c>
      <c r="E77" t="s">
        <v>30</v>
      </c>
      <c r="F77" t="s">
        <v>30</v>
      </c>
      <c r="G77" t="s">
        <v>31</v>
      </c>
      <c r="H77">
        <v>1.8392250000000001E-3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</row>
    <row r="78" spans="1:22">
      <c r="A78" t="s">
        <v>42</v>
      </c>
      <c r="B78">
        <v>2023</v>
      </c>
      <c r="C78" t="s">
        <v>23</v>
      </c>
      <c r="D78" t="s">
        <v>54</v>
      </c>
      <c r="E78" t="s">
        <v>30</v>
      </c>
      <c r="F78" t="s">
        <v>30</v>
      </c>
      <c r="G78" t="s">
        <v>31</v>
      </c>
      <c r="H78">
        <v>1.8392250000000001E-3</v>
      </c>
      <c r="I78">
        <v>23991664.83825789</v>
      </c>
      <c r="J78">
        <v>44126.069762144863</v>
      </c>
      <c r="K78">
        <v>3557.4602629752321</v>
      </c>
      <c r="L78">
        <v>3219.470015955746</v>
      </c>
      <c r="M78">
        <v>3565.019755684631</v>
      </c>
      <c r="N78">
        <v>3463.8259920285341</v>
      </c>
      <c r="O78">
        <v>3871.1023002123311</v>
      </c>
      <c r="P78">
        <v>3758.9627656322732</v>
      </c>
      <c r="Q78">
        <v>3870.939562681282</v>
      </c>
      <c r="R78">
        <v>3842.5385195914032</v>
      </c>
      <c r="S78">
        <v>3650.7244732348859</v>
      </c>
      <c r="T78">
        <v>3804.221633513801</v>
      </c>
      <c r="U78">
        <v>3700.1632434549888</v>
      </c>
      <c r="V78">
        <v>3821.6412371797569</v>
      </c>
    </row>
    <row r="79" spans="1:22">
      <c r="A79" t="s">
        <v>42</v>
      </c>
      <c r="B79">
        <v>2023</v>
      </c>
      <c r="C79" t="s">
        <v>23</v>
      </c>
      <c r="D79" t="s">
        <v>34</v>
      </c>
      <c r="E79" t="s">
        <v>34</v>
      </c>
      <c r="F79" t="s">
        <v>34</v>
      </c>
      <c r="G79" t="s">
        <v>31</v>
      </c>
      <c r="H79">
        <v>1.311E-2</v>
      </c>
      <c r="I79">
        <v>1053161.9794050341</v>
      </c>
      <c r="J79">
        <v>13806.95355</v>
      </c>
      <c r="K79">
        <v>1291.95505</v>
      </c>
      <c r="L79">
        <v>1260.7846500000001</v>
      </c>
      <c r="M79">
        <v>1383.6424500000001</v>
      </c>
      <c r="N79">
        <v>1224.992575</v>
      </c>
      <c r="O79">
        <v>1365.8396749999999</v>
      </c>
      <c r="P79">
        <v>1295.540475</v>
      </c>
      <c r="Q79">
        <v>1374.8550499999999</v>
      </c>
      <c r="R79">
        <v>1300.4315750000001</v>
      </c>
      <c r="S79">
        <v>211.80950000000001</v>
      </c>
      <c r="T79">
        <v>789.14582499999995</v>
      </c>
      <c r="U79">
        <v>1224.329375</v>
      </c>
      <c r="V79">
        <v>1083.62735</v>
      </c>
    </row>
    <row r="80" spans="1:22">
      <c r="A80" t="s">
        <v>55</v>
      </c>
      <c r="B80">
        <v>2023</v>
      </c>
      <c r="C80" t="s">
        <v>23</v>
      </c>
      <c r="D80" t="s">
        <v>56</v>
      </c>
      <c r="E80" t="s">
        <v>25</v>
      </c>
      <c r="F80" t="s">
        <v>26</v>
      </c>
      <c r="G80" t="s">
        <v>27</v>
      </c>
      <c r="H80">
        <v>5.0351584999999997E-2</v>
      </c>
      <c r="I80">
        <v>79417.67933809133</v>
      </c>
      <c r="J80">
        <v>3998.8060316946489</v>
      </c>
      <c r="K80">
        <v>393.33945047597598</v>
      </c>
      <c r="L80">
        <v>326.36861642009268</v>
      </c>
      <c r="M80">
        <v>348.29142861333088</v>
      </c>
      <c r="N80">
        <v>332.64263789139011</v>
      </c>
      <c r="O80">
        <v>362.10361764708807</v>
      </c>
      <c r="P80">
        <v>351.47252026297338</v>
      </c>
      <c r="Q80">
        <v>407.22138275942967</v>
      </c>
      <c r="R80">
        <v>479.87467948788378</v>
      </c>
      <c r="S80">
        <v>4.6456336393966584</v>
      </c>
      <c r="T80">
        <v>285.33535876339312</v>
      </c>
      <c r="U80">
        <v>245.83371410636849</v>
      </c>
      <c r="V80">
        <v>461.67699162732617</v>
      </c>
    </row>
    <row r="81" spans="1:22">
      <c r="A81" t="s">
        <v>55</v>
      </c>
      <c r="B81">
        <v>2023</v>
      </c>
      <c r="C81" t="s">
        <v>57</v>
      </c>
      <c r="D81" t="s">
        <v>58</v>
      </c>
      <c r="E81" t="s">
        <v>59</v>
      </c>
      <c r="F81" t="s">
        <v>60</v>
      </c>
      <c r="G81" t="s">
        <v>61</v>
      </c>
      <c r="H81">
        <v>0.77400000000000002</v>
      </c>
      <c r="I81">
        <v>122953.2641268251</v>
      </c>
      <c r="J81">
        <v>95165.826434162649</v>
      </c>
      <c r="K81">
        <v>8866.2970723665894</v>
      </c>
      <c r="L81">
        <v>8079.92400027447</v>
      </c>
      <c r="M81">
        <v>8864.1976762097402</v>
      </c>
      <c r="N81">
        <v>8645.3158535004004</v>
      </c>
      <c r="O81">
        <v>8834.39935017479</v>
      </c>
      <c r="P81">
        <v>6465.6930430329194</v>
      </c>
      <c r="Q81">
        <v>8930.9371516289593</v>
      </c>
      <c r="R81">
        <v>8242.7132021085599</v>
      </c>
      <c r="S81">
        <v>3552.9953029528501</v>
      </c>
      <c r="T81">
        <v>13373.3801980382</v>
      </c>
      <c r="U81">
        <v>3663.7046267856099</v>
      </c>
      <c r="V81">
        <v>7646.2689570895509</v>
      </c>
    </row>
    <row r="82" spans="1:22">
      <c r="A82" t="s">
        <v>55</v>
      </c>
      <c r="B82">
        <v>2023</v>
      </c>
      <c r="C82" t="s">
        <v>57</v>
      </c>
      <c r="D82" t="s">
        <v>62</v>
      </c>
      <c r="E82" t="s">
        <v>63</v>
      </c>
      <c r="F82" t="s">
        <v>64</v>
      </c>
      <c r="G82" t="s">
        <v>65</v>
      </c>
      <c r="H82">
        <v>8.4570000000000006E-2</v>
      </c>
      <c r="I82">
        <v>6605693</v>
      </c>
      <c r="J82">
        <v>558643.45701000001</v>
      </c>
      <c r="K82">
        <v>48202.447470000006</v>
      </c>
      <c r="L82">
        <v>44684.250900000006</v>
      </c>
      <c r="M82">
        <v>44190.446669999998</v>
      </c>
      <c r="N82">
        <v>47946.623220000001</v>
      </c>
      <c r="O82">
        <v>51776.798519999997</v>
      </c>
      <c r="P82">
        <v>49207.815629999997</v>
      </c>
      <c r="Q82">
        <v>47973.60104999999</v>
      </c>
      <c r="R82">
        <v>47002.060890000001</v>
      </c>
      <c r="S82">
        <v>31637.89071</v>
      </c>
      <c r="T82">
        <v>55386.076979999991</v>
      </c>
      <c r="U82">
        <v>47438.188380000007</v>
      </c>
      <c r="V82">
        <v>43197.256589999997</v>
      </c>
    </row>
    <row r="83" spans="1:22">
      <c r="A83" t="s">
        <v>55</v>
      </c>
      <c r="B83">
        <v>2023</v>
      </c>
      <c r="C83" t="s">
        <v>23</v>
      </c>
      <c r="D83" t="s">
        <v>66</v>
      </c>
      <c r="E83" t="s">
        <v>25</v>
      </c>
      <c r="F83" t="s">
        <v>26</v>
      </c>
      <c r="G83" t="s">
        <v>27</v>
      </c>
      <c r="H83">
        <v>5.0351584999999997E-2</v>
      </c>
      <c r="I83">
        <v>81540.821629364713</v>
      </c>
      <c r="J83">
        <v>4105.7096112407971</v>
      </c>
      <c r="K83">
        <v>557.83771585597503</v>
      </c>
      <c r="L83">
        <v>493.834803516916</v>
      </c>
      <c r="M83">
        <v>545.51186455207198</v>
      </c>
      <c r="N83">
        <v>576.39798846904398</v>
      </c>
      <c r="O83">
        <v>499.29707172815893</v>
      </c>
      <c r="P83">
        <v>372.806954983004</v>
      </c>
      <c r="Q83">
        <v>264.41953864474198</v>
      </c>
      <c r="R83">
        <v>153.143697754985</v>
      </c>
      <c r="S83">
        <v>0</v>
      </c>
      <c r="T83">
        <v>244.65813899045699</v>
      </c>
      <c r="U83">
        <v>33.574360628263797</v>
      </c>
      <c r="V83">
        <v>364.22747611717898</v>
      </c>
    </row>
    <row r="84" spans="1:22">
      <c r="A84" t="s">
        <v>55</v>
      </c>
      <c r="B84">
        <v>2023</v>
      </c>
      <c r="C84" t="s">
        <v>23</v>
      </c>
      <c r="D84" t="s">
        <v>67</v>
      </c>
      <c r="E84" t="s">
        <v>25</v>
      </c>
      <c r="F84" t="s">
        <v>26</v>
      </c>
      <c r="G84" t="s">
        <v>27</v>
      </c>
      <c r="H84">
        <v>5.0351584999999997E-2</v>
      </c>
      <c r="I84">
        <v>83457.830933439924</v>
      </c>
      <c r="J84">
        <v>4202.2340681607293</v>
      </c>
      <c r="K84">
        <v>217.23235525825069</v>
      </c>
      <c r="L84">
        <v>425.53022886799891</v>
      </c>
      <c r="M84">
        <v>462.36406901140379</v>
      </c>
      <c r="N84">
        <v>454.56265052414727</v>
      </c>
      <c r="O84">
        <v>412.34211666335108</v>
      </c>
      <c r="P84">
        <v>407.45694270585562</v>
      </c>
      <c r="Q84">
        <v>533.13407957437357</v>
      </c>
      <c r="R84">
        <v>507.44512298419312</v>
      </c>
      <c r="S84">
        <v>6.1854103720391027</v>
      </c>
      <c r="T84">
        <v>159.7247561236166</v>
      </c>
      <c r="U84">
        <v>120.8105377169444</v>
      </c>
      <c r="V84">
        <v>495.44579835855609</v>
      </c>
    </row>
    <row r="85" spans="1:22">
      <c r="A85" t="s">
        <v>55</v>
      </c>
      <c r="B85">
        <v>2023</v>
      </c>
      <c r="C85" t="s">
        <v>23</v>
      </c>
      <c r="D85" t="s">
        <v>68</v>
      </c>
      <c r="E85" t="s">
        <v>25</v>
      </c>
      <c r="F85" t="s">
        <v>26</v>
      </c>
      <c r="G85" t="s">
        <v>27</v>
      </c>
      <c r="H85">
        <v>5.0351584999999997E-2</v>
      </c>
      <c r="I85">
        <v>6531.1727962304212</v>
      </c>
      <c r="J85">
        <v>328.85490219908382</v>
      </c>
      <c r="K85">
        <v>22.588333192436231</v>
      </c>
      <c r="L85">
        <v>25.574086715770871</v>
      </c>
      <c r="M85">
        <v>19.908540277499881</v>
      </c>
      <c r="N85">
        <v>20.362206007193851</v>
      </c>
      <c r="O85">
        <v>18.505341625190681</v>
      </c>
      <c r="P85">
        <v>25.721791837066661</v>
      </c>
      <c r="Q85">
        <v>6.5517771660452677</v>
      </c>
      <c r="R85">
        <v>48.563333808866979</v>
      </c>
      <c r="S85">
        <v>3.355016326573911</v>
      </c>
      <c r="T85">
        <v>16.205361879300359</v>
      </c>
      <c r="U85">
        <v>0.67522341163751542</v>
      </c>
      <c r="V85">
        <v>120.84388995150159</v>
      </c>
    </row>
    <row r="86" spans="1:22">
      <c r="A86" t="s">
        <v>28</v>
      </c>
      <c r="B86">
        <v>2023</v>
      </c>
      <c r="C86" t="s">
        <v>23</v>
      </c>
      <c r="D86" t="s">
        <v>69</v>
      </c>
      <c r="E86" t="s">
        <v>70</v>
      </c>
      <c r="F86" t="s">
        <v>71</v>
      </c>
      <c r="G86" t="s">
        <v>72</v>
      </c>
      <c r="H86">
        <v>2.3203370499999998E-3</v>
      </c>
      <c r="I86">
        <v>12000</v>
      </c>
      <c r="J86">
        <v>27.8440446</v>
      </c>
      <c r="K86">
        <v>2.32033705</v>
      </c>
      <c r="L86">
        <v>2.32033705</v>
      </c>
      <c r="M86">
        <v>2.32033705</v>
      </c>
      <c r="N86">
        <v>2.32033705</v>
      </c>
      <c r="O86">
        <v>2.32033705</v>
      </c>
      <c r="P86">
        <v>2.32033705</v>
      </c>
      <c r="Q86">
        <v>2.32033705</v>
      </c>
      <c r="R86">
        <v>2.32033705</v>
      </c>
      <c r="S86">
        <v>2.32033705</v>
      </c>
      <c r="T86">
        <v>2.32033705</v>
      </c>
      <c r="U86">
        <v>2.32033705</v>
      </c>
      <c r="V86">
        <v>2.32033705</v>
      </c>
    </row>
    <row r="87" spans="1:22">
      <c r="A87" t="s">
        <v>28</v>
      </c>
      <c r="B87">
        <v>2023</v>
      </c>
      <c r="C87" t="s">
        <v>23</v>
      </c>
      <c r="D87" t="s">
        <v>73</v>
      </c>
      <c r="E87" t="s">
        <v>70</v>
      </c>
      <c r="F87" t="s">
        <v>74</v>
      </c>
      <c r="G87" t="s">
        <v>72</v>
      </c>
      <c r="H87">
        <v>2.3203212099999998E-3</v>
      </c>
      <c r="I87">
        <v>12000</v>
      </c>
      <c r="J87">
        <v>27.843854520000001</v>
      </c>
      <c r="K87">
        <v>2.3203212099999999</v>
      </c>
      <c r="L87">
        <v>2.3203212099999999</v>
      </c>
      <c r="M87">
        <v>2.3203212099999999</v>
      </c>
      <c r="N87">
        <v>2.3203212099999999</v>
      </c>
      <c r="O87">
        <v>2.3203212099999999</v>
      </c>
      <c r="P87">
        <v>2.3203212099999999</v>
      </c>
      <c r="Q87">
        <v>2.3203212099999999</v>
      </c>
      <c r="R87">
        <v>2.3203212099999999</v>
      </c>
      <c r="S87">
        <v>2.3203212099999999</v>
      </c>
      <c r="T87">
        <v>2.3203212099999999</v>
      </c>
      <c r="U87">
        <v>2.3203212099999999</v>
      </c>
      <c r="V87">
        <v>2.3203212099999999</v>
      </c>
    </row>
    <row r="88" spans="1:22">
      <c r="A88" t="s">
        <v>35</v>
      </c>
      <c r="B88">
        <v>2023</v>
      </c>
      <c r="C88" t="s">
        <v>23</v>
      </c>
      <c r="D88" t="s">
        <v>69</v>
      </c>
      <c r="E88" t="s">
        <v>70</v>
      </c>
      <c r="F88" t="s">
        <v>71</v>
      </c>
      <c r="G88" t="s">
        <v>72</v>
      </c>
      <c r="H88">
        <v>2.3203370499999998E-3</v>
      </c>
      <c r="I88">
        <v>12000</v>
      </c>
      <c r="J88">
        <v>27.8440446</v>
      </c>
      <c r="K88">
        <v>2.32033705</v>
      </c>
      <c r="L88">
        <v>2.32033705</v>
      </c>
      <c r="M88">
        <v>2.32033705</v>
      </c>
      <c r="N88">
        <v>2.32033705</v>
      </c>
      <c r="O88">
        <v>2.32033705</v>
      </c>
      <c r="P88">
        <v>2.32033705</v>
      </c>
      <c r="Q88">
        <v>2.32033705</v>
      </c>
      <c r="R88">
        <v>2.32033705</v>
      </c>
      <c r="S88">
        <v>2.32033705</v>
      </c>
      <c r="T88">
        <v>2.32033705</v>
      </c>
      <c r="U88">
        <v>2.32033705</v>
      </c>
      <c r="V88">
        <v>2.32033705</v>
      </c>
    </row>
    <row r="89" spans="1:22">
      <c r="A89" t="s">
        <v>35</v>
      </c>
      <c r="B89">
        <v>2023</v>
      </c>
      <c r="C89" t="s">
        <v>23</v>
      </c>
      <c r="D89" t="s">
        <v>73</v>
      </c>
      <c r="E89" t="s">
        <v>70</v>
      </c>
      <c r="F89" t="s">
        <v>74</v>
      </c>
      <c r="G89" t="s">
        <v>72</v>
      </c>
      <c r="H89">
        <v>2.3203212099999998E-3</v>
      </c>
      <c r="I89">
        <v>12000</v>
      </c>
      <c r="J89">
        <v>27.843854520000001</v>
      </c>
      <c r="K89">
        <v>2.3203212099999999</v>
      </c>
      <c r="L89">
        <v>2.3203212099999999</v>
      </c>
      <c r="M89">
        <v>2.3203212099999999</v>
      </c>
      <c r="N89">
        <v>2.3203212099999999</v>
      </c>
      <c r="O89">
        <v>2.3203212099999999</v>
      </c>
      <c r="P89">
        <v>2.3203212099999999</v>
      </c>
      <c r="Q89">
        <v>2.3203212099999999</v>
      </c>
      <c r="R89">
        <v>2.3203212099999999</v>
      </c>
      <c r="S89">
        <v>2.3203212099999999</v>
      </c>
      <c r="T89">
        <v>2.3203212099999999</v>
      </c>
      <c r="U89">
        <v>2.3203212099999999</v>
      </c>
      <c r="V89">
        <v>2.3203212099999999</v>
      </c>
    </row>
    <row r="90" spans="1:22">
      <c r="A90" t="s">
        <v>37</v>
      </c>
      <c r="B90">
        <v>2023</v>
      </c>
      <c r="C90" t="s">
        <v>23</v>
      </c>
      <c r="D90" t="s">
        <v>69</v>
      </c>
      <c r="E90" t="s">
        <v>70</v>
      </c>
      <c r="F90" t="s">
        <v>71</v>
      </c>
      <c r="G90" t="s">
        <v>72</v>
      </c>
      <c r="H90">
        <v>2.3203370499999998E-3</v>
      </c>
      <c r="I90">
        <v>12000</v>
      </c>
      <c r="J90">
        <v>27.8440446</v>
      </c>
      <c r="K90">
        <v>2.32033705</v>
      </c>
      <c r="L90">
        <v>2.32033705</v>
      </c>
      <c r="M90">
        <v>2.32033705</v>
      </c>
      <c r="N90">
        <v>2.32033705</v>
      </c>
      <c r="O90">
        <v>2.32033705</v>
      </c>
      <c r="P90">
        <v>2.32033705</v>
      </c>
      <c r="Q90">
        <v>2.32033705</v>
      </c>
      <c r="R90">
        <v>2.32033705</v>
      </c>
      <c r="S90">
        <v>2.32033705</v>
      </c>
      <c r="T90">
        <v>2.32033705</v>
      </c>
      <c r="U90">
        <v>2.32033705</v>
      </c>
      <c r="V90">
        <v>2.32033705</v>
      </c>
    </row>
    <row r="91" spans="1:22">
      <c r="A91" t="s">
        <v>37</v>
      </c>
      <c r="B91">
        <v>2023</v>
      </c>
      <c r="C91" t="s">
        <v>23</v>
      </c>
      <c r="D91" t="s">
        <v>73</v>
      </c>
      <c r="E91" t="s">
        <v>70</v>
      </c>
      <c r="F91" t="s">
        <v>74</v>
      </c>
      <c r="G91" t="s">
        <v>72</v>
      </c>
      <c r="H91">
        <v>2.3203212099999998E-3</v>
      </c>
      <c r="I91">
        <v>12000</v>
      </c>
      <c r="J91">
        <v>27.843854520000001</v>
      </c>
      <c r="K91">
        <v>2.3203212099999999</v>
      </c>
      <c r="L91">
        <v>2.3203212099999999</v>
      </c>
      <c r="M91">
        <v>2.3203212099999999</v>
      </c>
      <c r="N91">
        <v>2.3203212099999999</v>
      </c>
      <c r="O91">
        <v>2.3203212099999999</v>
      </c>
      <c r="P91">
        <v>2.3203212099999999</v>
      </c>
      <c r="Q91">
        <v>2.3203212099999999</v>
      </c>
      <c r="R91">
        <v>2.3203212099999999</v>
      </c>
      <c r="S91">
        <v>2.3203212099999999</v>
      </c>
      <c r="T91">
        <v>2.3203212099999999</v>
      </c>
      <c r="U91">
        <v>2.3203212099999999</v>
      </c>
      <c r="V91">
        <v>2.3203212099999999</v>
      </c>
    </row>
    <row r="92" spans="1:22">
      <c r="A92" t="s">
        <v>42</v>
      </c>
      <c r="B92">
        <v>2023</v>
      </c>
      <c r="C92" t="s">
        <v>23</v>
      </c>
      <c r="D92" t="s">
        <v>69</v>
      </c>
      <c r="E92" t="s">
        <v>70</v>
      </c>
      <c r="F92" t="s">
        <v>71</v>
      </c>
      <c r="G92" t="s">
        <v>72</v>
      </c>
      <c r="H92">
        <v>2.3203370499999998E-3</v>
      </c>
      <c r="I92">
        <v>12000</v>
      </c>
      <c r="J92">
        <v>27.8440446</v>
      </c>
      <c r="K92">
        <v>2.32033705</v>
      </c>
      <c r="L92">
        <v>2.32033705</v>
      </c>
      <c r="M92">
        <v>2.32033705</v>
      </c>
      <c r="N92">
        <v>2.32033705</v>
      </c>
      <c r="O92">
        <v>2.32033705</v>
      </c>
      <c r="P92">
        <v>2.32033705</v>
      </c>
      <c r="Q92">
        <v>2.32033705</v>
      </c>
      <c r="R92">
        <v>2.32033705</v>
      </c>
      <c r="S92">
        <v>2.32033705</v>
      </c>
      <c r="T92">
        <v>2.32033705</v>
      </c>
      <c r="U92">
        <v>2.32033705</v>
      </c>
      <c r="V92">
        <v>2.32033705</v>
      </c>
    </row>
    <row r="93" spans="1:22">
      <c r="A93" t="s">
        <v>42</v>
      </c>
      <c r="B93">
        <v>2023</v>
      </c>
      <c r="C93" t="s">
        <v>23</v>
      </c>
      <c r="D93" t="s">
        <v>73</v>
      </c>
      <c r="E93" t="s">
        <v>70</v>
      </c>
      <c r="F93" t="s">
        <v>74</v>
      </c>
      <c r="G93" t="s">
        <v>72</v>
      </c>
      <c r="H93">
        <v>2.3203212099999998E-3</v>
      </c>
      <c r="I93">
        <v>12000</v>
      </c>
      <c r="J93">
        <v>27.843854520000001</v>
      </c>
      <c r="K93">
        <v>2.3203212099999999</v>
      </c>
      <c r="L93">
        <v>2.3203212099999999</v>
      </c>
      <c r="M93">
        <v>2.3203212099999999</v>
      </c>
      <c r="N93">
        <v>2.3203212099999999</v>
      </c>
      <c r="O93">
        <v>2.3203212099999999</v>
      </c>
      <c r="P93">
        <v>2.3203212099999999</v>
      </c>
      <c r="Q93">
        <v>2.3203212099999999</v>
      </c>
      <c r="R93">
        <v>2.3203212099999999</v>
      </c>
      <c r="S93">
        <v>2.3203212099999999</v>
      </c>
      <c r="T93">
        <v>2.3203212099999999</v>
      </c>
      <c r="U93">
        <v>2.3203212099999999</v>
      </c>
      <c r="V93">
        <v>2.3203212099999999</v>
      </c>
    </row>
    <row r="94" spans="1:22">
      <c r="A94" t="s">
        <v>55</v>
      </c>
      <c r="B94">
        <v>2023</v>
      </c>
      <c r="C94" t="s">
        <v>23</v>
      </c>
      <c r="D94" t="s">
        <v>69</v>
      </c>
      <c r="E94" t="s">
        <v>70</v>
      </c>
      <c r="F94" t="s">
        <v>71</v>
      </c>
      <c r="G94" t="s">
        <v>72</v>
      </c>
      <c r="H94">
        <v>2.3203370499999998E-3</v>
      </c>
      <c r="I94">
        <v>12000</v>
      </c>
      <c r="J94">
        <v>27.8440446</v>
      </c>
      <c r="K94">
        <v>2.32033705</v>
      </c>
      <c r="L94">
        <v>2.32033705</v>
      </c>
      <c r="M94">
        <v>2.32033705</v>
      </c>
      <c r="N94">
        <v>2.32033705</v>
      </c>
      <c r="O94">
        <v>2.32033705</v>
      </c>
      <c r="P94">
        <v>2.32033705</v>
      </c>
      <c r="Q94">
        <v>2.32033705</v>
      </c>
      <c r="R94">
        <v>2.32033705</v>
      </c>
      <c r="S94">
        <v>2.32033705</v>
      </c>
      <c r="T94">
        <v>2.32033705</v>
      </c>
      <c r="U94">
        <v>2.32033705</v>
      </c>
      <c r="V94">
        <v>2.32033705</v>
      </c>
    </row>
    <row r="95" spans="1:22">
      <c r="A95" t="s">
        <v>55</v>
      </c>
      <c r="B95">
        <v>2023</v>
      </c>
      <c r="C95" t="s">
        <v>23</v>
      </c>
      <c r="D95" t="s">
        <v>73</v>
      </c>
      <c r="E95" t="s">
        <v>70</v>
      </c>
      <c r="F95" t="s">
        <v>74</v>
      </c>
      <c r="G95" t="s">
        <v>72</v>
      </c>
      <c r="H95">
        <v>2.3203212099999998E-3</v>
      </c>
      <c r="I95">
        <v>12000</v>
      </c>
      <c r="J95">
        <v>27.843854520000001</v>
      </c>
      <c r="K95">
        <v>2.3203212099999999</v>
      </c>
      <c r="L95">
        <v>2.3203212099999999</v>
      </c>
      <c r="M95">
        <v>2.3203212099999999</v>
      </c>
      <c r="N95">
        <v>2.3203212099999999</v>
      </c>
      <c r="O95">
        <v>2.3203212099999999</v>
      </c>
      <c r="P95">
        <v>2.3203212099999999</v>
      </c>
      <c r="Q95">
        <v>2.3203212099999999</v>
      </c>
      <c r="R95">
        <v>2.3203212099999999</v>
      </c>
      <c r="S95">
        <v>2.3203212099999999</v>
      </c>
      <c r="T95">
        <v>2.3203212099999999</v>
      </c>
      <c r="U95">
        <v>2.3203212099999999</v>
      </c>
      <c r="V95">
        <v>2.3203212099999999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2022</vt:lpstr>
      <vt:lpstr>2023</vt:lpstr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Mustaqim Bin Md Hisham</dc:creator>
  <cp:lastModifiedBy>Aida Farhana Binti Rusdi</cp:lastModifiedBy>
  <dcterms:created xsi:type="dcterms:W3CDTF">2026-09-18T02:12:09Z</dcterms:created>
  <dcterms:modified xsi:type="dcterms:W3CDTF">2026-10-08T15:03:25Z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0x01010017573D7F68117A4B9942F509A3949DD8</vt:lpwstr>
  </property>
</Properties>
</file>